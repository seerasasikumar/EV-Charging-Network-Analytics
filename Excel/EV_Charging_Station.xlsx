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chand\Desktop\Data Analyst\Projects\"/>
    </mc:Choice>
  </mc:AlternateContent>
  <xr:revisionPtr revIDLastSave="0" documentId="13_ncr:1_{37FE1DD3-1A87-43F3-B379-1CD5ABD28871}" xr6:coauthVersionLast="47" xr6:coauthVersionMax="47" xr10:uidLastSave="{00000000-0000-0000-0000-000000000000}"/>
  <bookViews>
    <workbookView xWindow="-108" yWindow="-108" windowWidth="23256" windowHeight="12456" activeTab="6" xr2:uid="{274E8E57-BBF8-4AB8-BE69-3EBF5005F2E8}"/>
  </bookViews>
  <sheets>
    <sheet name="Sheet2" sheetId="2" r:id="rId1"/>
    <sheet name="Sheet3" sheetId="3" r:id="rId2"/>
    <sheet name="Sheet4" sheetId="4" r:id="rId3"/>
    <sheet name="Sheet5" sheetId="5" r:id="rId4"/>
    <sheet name="Sheet8" sheetId="8" r:id="rId5"/>
    <sheet name="Sheet1" sheetId="1" r:id="rId6"/>
    <sheet name="Sheet7" sheetId="10" r:id="rId7"/>
  </sheets>
  <definedNames>
    <definedName name="Slicer_City1">#N/A</definedName>
    <definedName name="Slicer_Payment_Method1">#N/A</definedName>
    <definedName name="Slicer_Vehicle_Typ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P3" i="1"/>
  <c r="O3" i="1"/>
  <c r="N3" i="1"/>
  <c r="M3" i="1"/>
  <c r="L3" i="1"/>
</calcChain>
</file>

<file path=xl/sharedStrings.xml><?xml version="1.0" encoding="utf-8"?>
<sst xmlns="http://schemas.openxmlformats.org/spreadsheetml/2006/main" count="2063" uniqueCount="545">
  <si>
    <t>Station_ID</t>
  </si>
  <si>
    <t>City</t>
  </si>
  <si>
    <t>Date</t>
  </si>
  <si>
    <t>Vehicle_Type</t>
  </si>
  <si>
    <t>Charging_Start_Time</t>
  </si>
  <si>
    <t>Charging_End_Time</t>
  </si>
  <si>
    <t>Energy_Consumed_kWh</t>
  </si>
  <si>
    <t>Cost_INR</t>
  </si>
  <si>
    <t>Payment_Method</t>
  </si>
  <si>
    <t>ST001</t>
  </si>
  <si>
    <t>Kolkata</t>
  </si>
  <si>
    <t>Car</t>
  </si>
  <si>
    <t>UPI</t>
  </si>
  <si>
    <t>ST002</t>
  </si>
  <si>
    <t>Pune</t>
  </si>
  <si>
    <t>Bus</t>
  </si>
  <si>
    <t>ST003</t>
  </si>
  <si>
    <t>Hyderabad</t>
  </si>
  <si>
    <t>Cash</t>
  </si>
  <si>
    <t>ST004</t>
  </si>
  <si>
    <t>Indore</t>
  </si>
  <si>
    <t>ST005</t>
  </si>
  <si>
    <t>Card</t>
  </si>
  <si>
    <t>ST006</t>
  </si>
  <si>
    <t>Truck</t>
  </si>
  <si>
    <t>ST007</t>
  </si>
  <si>
    <t>Delhi</t>
  </si>
  <si>
    <t>ST008</t>
  </si>
  <si>
    <t>Bike</t>
  </si>
  <si>
    <t>ST009</t>
  </si>
  <si>
    <t>Jaipur</t>
  </si>
  <si>
    <t>ST010</t>
  </si>
  <si>
    <t>ST011</t>
  </si>
  <si>
    <t>Chennai</t>
  </si>
  <si>
    <t>ST012</t>
  </si>
  <si>
    <t>ST013</t>
  </si>
  <si>
    <t>ST014</t>
  </si>
  <si>
    <t>Mumbai</t>
  </si>
  <si>
    <t>ST015</t>
  </si>
  <si>
    <t>ST016</t>
  </si>
  <si>
    <t>Bhopal</t>
  </si>
  <si>
    <t>ST017</t>
  </si>
  <si>
    <t>ST018</t>
  </si>
  <si>
    <t>ST019</t>
  </si>
  <si>
    <t>ST020</t>
  </si>
  <si>
    <t>ST021</t>
  </si>
  <si>
    <t>ST022</t>
  </si>
  <si>
    <t>ST023</t>
  </si>
  <si>
    <t>ST024</t>
  </si>
  <si>
    <t>ST025</t>
  </si>
  <si>
    <t>ST026</t>
  </si>
  <si>
    <t>ST027</t>
  </si>
  <si>
    <t>Ahmedabad</t>
  </si>
  <si>
    <t>ST028</t>
  </si>
  <si>
    <t>ST029</t>
  </si>
  <si>
    <t>ST030</t>
  </si>
  <si>
    <t>ST031</t>
  </si>
  <si>
    <t>ST032</t>
  </si>
  <si>
    <t>ST033</t>
  </si>
  <si>
    <t>ST034</t>
  </si>
  <si>
    <t>ST035</t>
  </si>
  <si>
    <t>ST036</t>
  </si>
  <si>
    <t>ST037</t>
  </si>
  <si>
    <t>ST038</t>
  </si>
  <si>
    <t>ST039</t>
  </si>
  <si>
    <t>ST040</t>
  </si>
  <si>
    <t>ST041</t>
  </si>
  <si>
    <t>ST042</t>
  </si>
  <si>
    <t>ST043</t>
  </si>
  <si>
    <t>ST044</t>
  </si>
  <si>
    <t>ST045</t>
  </si>
  <si>
    <t>ST046</t>
  </si>
  <si>
    <t>ST047</t>
  </si>
  <si>
    <t>ST048</t>
  </si>
  <si>
    <t>ST049</t>
  </si>
  <si>
    <t>ST050</t>
  </si>
  <si>
    <t>ST051</t>
  </si>
  <si>
    <t>ST052</t>
  </si>
  <si>
    <t>ST053</t>
  </si>
  <si>
    <t>ST054</t>
  </si>
  <si>
    <t>ST055</t>
  </si>
  <si>
    <t>ST056</t>
  </si>
  <si>
    <t>ST057</t>
  </si>
  <si>
    <t>ST058</t>
  </si>
  <si>
    <t>ST059</t>
  </si>
  <si>
    <t>ST060</t>
  </si>
  <si>
    <t>ST061</t>
  </si>
  <si>
    <t>ST062</t>
  </si>
  <si>
    <t>ST063</t>
  </si>
  <si>
    <t>ST064</t>
  </si>
  <si>
    <t>ST065</t>
  </si>
  <si>
    <t>ST066</t>
  </si>
  <si>
    <t>ST067</t>
  </si>
  <si>
    <t>ST068</t>
  </si>
  <si>
    <t>ST069</t>
  </si>
  <si>
    <t>ST070</t>
  </si>
  <si>
    <t>ST071</t>
  </si>
  <si>
    <t>ST072</t>
  </si>
  <si>
    <t>ST073</t>
  </si>
  <si>
    <t>ST074</t>
  </si>
  <si>
    <t>ST075</t>
  </si>
  <si>
    <t>ST076</t>
  </si>
  <si>
    <t>ST077</t>
  </si>
  <si>
    <t>ST078</t>
  </si>
  <si>
    <t>ST079</t>
  </si>
  <si>
    <t>ST080</t>
  </si>
  <si>
    <t>ST081</t>
  </si>
  <si>
    <t>ST082</t>
  </si>
  <si>
    <t>ST083</t>
  </si>
  <si>
    <t>ST084</t>
  </si>
  <si>
    <t>ST085</t>
  </si>
  <si>
    <t>ST086</t>
  </si>
  <si>
    <t>ST087</t>
  </si>
  <si>
    <t>ST088</t>
  </si>
  <si>
    <t>ST089</t>
  </si>
  <si>
    <t>ST090</t>
  </si>
  <si>
    <t>ST091</t>
  </si>
  <si>
    <t>ST092</t>
  </si>
  <si>
    <t>ST093</t>
  </si>
  <si>
    <t>ST094</t>
  </si>
  <si>
    <t>ST095</t>
  </si>
  <si>
    <t>ST096</t>
  </si>
  <si>
    <t>ST097</t>
  </si>
  <si>
    <t>ST098</t>
  </si>
  <si>
    <t>ST099</t>
  </si>
  <si>
    <t>ST100</t>
  </si>
  <si>
    <t>ST101</t>
  </si>
  <si>
    <t>ST102</t>
  </si>
  <si>
    <t>ST103</t>
  </si>
  <si>
    <t>ST104</t>
  </si>
  <si>
    <t>ST105</t>
  </si>
  <si>
    <t>ST106</t>
  </si>
  <si>
    <t>ST107</t>
  </si>
  <si>
    <t>ST108</t>
  </si>
  <si>
    <t>ST109</t>
  </si>
  <si>
    <t>ST110</t>
  </si>
  <si>
    <t>ST111</t>
  </si>
  <si>
    <t>ST112</t>
  </si>
  <si>
    <t>ST113</t>
  </si>
  <si>
    <t>ST114</t>
  </si>
  <si>
    <t>ST115</t>
  </si>
  <si>
    <t>ST116</t>
  </si>
  <si>
    <t>ST117</t>
  </si>
  <si>
    <t>ST118</t>
  </si>
  <si>
    <t>ST119</t>
  </si>
  <si>
    <t>ST120</t>
  </si>
  <si>
    <t>ST121</t>
  </si>
  <si>
    <t>ST122</t>
  </si>
  <si>
    <t>ST123</t>
  </si>
  <si>
    <t>ST124</t>
  </si>
  <si>
    <t>ST125</t>
  </si>
  <si>
    <t>ST126</t>
  </si>
  <si>
    <t>ST127</t>
  </si>
  <si>
    <t>ST128</t>
  </si>
  <si>
    <t>ST129</t>
  </si>
  <si>
    <t>ST130</t>
  </si>
  <si>
    <t>ST131</t>
  </si>
  <si>
    <t>ST132</t>
  </si>
  <si>
    <t>ST133</t>
  </si>
  <si>
    <t>ST134</t>
  </si>
  <si>
    <t>ST135</t>
  </si>
  <si>
    <t>ST136</t>
  </si>
  <si>
    <t>ST137</t>
  </si>
  <si>
    <t>ST138</t>
  </si>
  <si>
    <t>ST139</t>
  </si>
  <si>
    <t>ST140</t>
  </si>
  <si>
    <t>ST141</t>
  </si>
  <si>
    <t>ST142</t>
  </si>
  <si>
    <t>ST143</t>
  </si>
  <si>
    <t>ST144</t>
  </si>
  <si>
    <t>ST145</t>
  </si>
  <si>
    <t>ST146</t>
  </si>
  <si>
    <t>ST147</t>
  </si>
  <si>
    <t>ST148</t>
  </si>
  <si>
    <t>ST149</t>
  </si>
  <si>
    <t>ST150</t>
  </si>
  <si>
    <t>ST151</t>
  </si>
  <si>
    <t>ST152</t>
  </si>
  <si>
    <t>ST153</t>
  </si>
  <si>
    <t>ST154</t>
  </si>
  <si>
    <t>ST155</t>
  </si>
  <si>
    <t>ST156</t>
  </si>
  <si>
    <t>ST157</t>
  </si>
  <si>
    <t>ST158</t>
  </si>
  <si>
    <t>ST159</t>
  </si>
  <si>
    <t>ST160</t>
  </si>
  <si>
    <t>ST161</t>
  </si>
  <si>
    <t>ST162</t>
  </si>
  <si>
    <t>ST163</t>
  </si>
  <si>
    <t>ST164</t>
  </si>
  <si>
    <t>ST165</t>
  </si>
  <si>
    <t>ST166</t>
  </si>
  <si>
    <t>ST167</t>
  </si>
  <si>
    <t>ST168</t>
  </si>
  <si>
    <t>ST169</t>
  </si>
  <si>
    <t>ST170</t>
  </si>
  <si>
    <t>ST171</t>
  </si>
  <si>
    <t>ST172</t>
  </si>
  <si>
    <t>ST173</t>
  </si>
  <si>
    <t>ST174</t>
  </si>
  <si>
    <t>ST175</t>
  </si>
  <si>
    <t>ST176</t>
  </si>
  <si>
    <t>ST177</t>
  </si>
  <si>
    <t>ST178</t>
  </si>
  <si>
    <t>ST179</t>
  </si>
  <si>
    <t>ST180</t>
  </si>
  <si>
    <t>ST181</t>
  </si>
  <si>
    <t>ST182</t>
  </si>
  <si>
    <t>ST183</t>
  </si>
  <si>
    <t>ST184</t>
  </si>
  <si>
    <t>ST185</t>
  </si>
  <si>
    <t>ST186</t>
  </si>
  <si>
    <t>ST187</t>
  </si>
  <si>
    <t>ST188</t>
  </si>
  <si>
    <t>ST189</t>
  </si>
  <si>
    <t>ST190</t>
  </si>
  <si>
    <t>ST191</t>
  </si>
  <si>
    <t>ST192</t>
  </si>
  <si>
    <t>ST193</t>
  </si>
  <si>
    <t>ST194</t>
  </si>
  <si>
    <t>ST195</t>
  </si>
  <si>
    <t>ST196</t>
  </si>
  <si>
    <t>ST197</t>
  </si>
  <si>
    <t>ST198</t>
  </si>
  <si>
    <t>ST199</t>
  </si>
  <si>
    <t>ST200</t>
  </si>
  <si>
    <t>ST201</t>
  </si>
  <si>
    <t>ST202</t>
  </si>
  <si>
    <t>ST203</t>
  </si>
  <si>
    <t>ST204</t>
  </si>
  <si>
    <t>ST205</t>
  </si>
  <si>
    <t>ST206</t>
  </si>
  <si>
    <t>ST207</t>
  </si>
  <si>
    <t>ST208</t>
  </si>
  <si>
    <t>ST209</t>
  </si>
  <si>
    <t>ST210</t>
  </si>
  <si>
    <t>ST211</t>
  </si>
  <si>
    <t>ST212</t>
  </si>
  <si>
    <t>ST213</t>
  </si>
  <si>
    <t>ST214</t>
  </si>
  <si>
    <t>ST215</t>
  </si>
  <si>
    <t>ST216</t>
  </si>
  <si>
    <t>ST217</t>
  </si>
  <si>
    <t>ST218</t>
  </si>
  <si>
    <t>ST219</t>
  </si>
  <si>
    <t>ST220</t>
  </si>
  <si>
    <t>ST221</t>
  </si>
  <si>
    <t>ST222</t>
  </si>
  <si>
    <t>ST223</t>
  </si>
  <si>
    <t>ST224</t>
  </si>
  <si>
    <t>ST225</t>
  </si>
  <si>
    <t>ST226</t>
  </si>
  <si>
    <t>ST227</t>
  </si>
  <si>
    <t>ST228</t>
  </si>
  <si>
    <t>ST229</t>
  </si>
  <si>
    <t>ST230</t>
  </si>
  <si>
    <t>ST231</t>
  </si>
  <si>
    <t>ST232</t>
  </si>
  <si>
    <t>ST233</t>
  </si>
  <si>
    <t>ST234</t>
  </si>
  <si>
    <t>ST235</t>
  </si>
  <si>
    <t>ST236</t>
  </si>
  <si>
    <t>ST237</t>
  </si>
  <si>
    <t>ST238</t>
  </si>
  <si>
    <t>ST239</t>
  </si>
  <si>
    <t>ST240</t>
  </si>
  <si>
    <t>ST241</t>
  </si>
  <si>
    <t>ST242</t>
  </si>
  <si>
    <t>ST243</t>
  </si>
  <si>
    <t>ST244</t>
  </si>
  <si>
    <t>ST245</t>
  </si>
  <si>
    <t>ST246</t>
  </si>
  <si>
    <t>ST247</t>
  </si>
  <si>
    <t>ST248</t>
  </si>
  <si>
    <t>ST249</t>
  </si>
  <si>
    <t>ST250</t>
  </si>
  <si>
    <t>ST251</t>
  </si>
  <si>
    <t>ST252</t>
  </si>
  <si>
    <t>ST253</t>
  </si>
  <si>
    <t>ST254</t>
  </si>
  <si>
    <t>ST255</t>
  </si>
  <si>
    <t>ST256</t>
  </si>
  <si>
    <t>ST257</t>
  </si>
  <si>
    <t>ST258</t>
  </si>
  <si>
    <t>ST259</t>
  </si>
  <si>
    <t>ST260</t>
  </si>
  <si>
    <t>ST261</t>
  </si>
  <si>
    <t>ST262</t>
  </si>
  <si>
    <t>ST263</t>
  </si>
  <si>
    <t>ST264</t>
  </si>
  <si>
    <t>ST265</t>
  </si>
  <si>
    <t>ST266</t>
  </si>
  <si>
    <t>ST267</t>
  </si>
  <si>
    <t>ST268</t>
  </si>
  <si>
    <t>ST269</t>
  </si>
  <si>
    <t>ST270</t>
  </si>
  <si>
    <t>ST271</t>
  </si>
  <si>
    <t>ST272</t>
  </si>
  <si>
    <t>ST273</t>
  </si>
  <si>
    <t>ST274</t>
  </si>
  <si>
    <t>ST275</t>
  </si>
  <si>
    <t>ST276</t>
  </si>
  <si>
    <t>ST277</t>
  </si>
  <si>
    <t>ST278</t>
  </si>
  <si>
    <t>ST279</t>
  </si>
  <si>
    <t>ST280</t>
  </si>
  <si>
    <t>ST281</t>
  </si>
  <si>
    <t>ST282</t>
  </si>
  <si>
    <t>ST283</t>
  </si>
  <si>
    <t>ST284</t>
  </si>
  <si>
    <t>ST285</t>
  </si>
  <si>
    <t>ST286</t>
  </si>
  <si>
    <t>ST287</t>
  </si>
  <si>
    <t>ST288</t>
  </si>
  <si>
    <t>ST289</t>
  </si>
  <si>
    <t>ST290</t>
  </si>
  <si>
    <t>ST291</t>
  </si>
  <si>
    <t>ST292</t>
  </si>
  <si>
    <t>ST293</t>
  </si>
  <si>
    <t>ST294</t>
  </si>
  <si>
    <t>ST295</t>
  </si>
  <si>
    <t>ST296</t>
  </si>
  <si>
    <t>ST297</t>
  </si>
  <si>
    <t>ST298</t>
  </si>
  <si>
    <t>ST299</t>
  </si>
  <si>
    <t>ST300</t>
  </si>
  <si>
    <t>ST301</t>
  </si>
  <si>
    <t>ST302</t>
  </si>
  <si>
    <t>ST303</t>
  </si>
  <si>
    <t>ST304</t>
  </si>
  <si>
    <t>ST305</t>
  </si>
  <si>
    <t>ST306</t>
  </si>
  <si>
    <t>ST307</t>
  </si>
  <si>
    <t>ST308</t>
  </si>
  <si>
    <t>ST309</t>
  </si>
  <si>
    <t>ST310</t>
  </si>
  <si>
    <t>ST311</t>
  </si>
  <si>
    <t>ST312</t>
  </si>
  <si>
    <t>ST313</t>
  </si>
  <si>
    <t>ST314</t>
  </si>
  <si>
    <t>ST315</t>
  </si>
  <si>
    <t>ST316</t>
  </si>
  <si>
    <t>ST317</t>
  </si>
  <si>
    <t>ST318</t>
  </si>
  <si>
    <t>ST319</t>
  </si>
  <si>
    <t>ST320</t>
  </si>
  <si>
    <t>ST321</t>
  </si>
  <si>
    <t>ST322</t>
  </si>
  <si>
    <t>ST323</t>
  </si>
  <si>
    <t>ST324</t>
  </si>
  <si>
    <t>ST325</t>
  </si>
  <si>
    <t>ST326</t>
  </si>
  <si>
    <t>ST327</t>
  </si>
  <si>
    <t>ST328</t>
  </si>
  <si>
    <t>ST329</t>
  </si>
  <si>
    <t>ST330</t>
  </si>
  <si>
    <t>ST331</t>
  </si>
  <si>
    <t>ST332</t>
  </si>
  <si>
    <t>ST333</t>
  </si>
  <si>
    <t>ST334</t>
  </si>
  <si>
    <t>ST335</t>
  </si>
  <si>
    <t>ST336</t>
  </si>
  <si>
    <t>ST337</t>
  </si>
  <si>
    <t>ST338</t>
  </si>
  <si>
    <t>ST339</t>
  </si>
  <si>
    <t>ST340</t>
  </si>
  <si>
    <t>ST341</t>
  </si>
  <si>
    <t>ST342</t>
  </si>
  <si>
    <t>ST343</t>
  </si>
  <si>
    <t>ST344</t>
  </si>
  <si>
    <t>ST345</t>
  </si>
  <si>
    <t>ST346</t>
  </si>
  <si>
    <t>ST347</t>
  </si>
  <si>
    <t>ST348</t>
  </si>
  <si>
    <t>ST349</t>
  </si>
  <si>
    <t>ST350</t>
  </si>
  <si>
    <t>ST351</t>
  </si>
  <si>
    <t>ST352</t>
  </si>
  <si>
    <t>ST353</t>
  </si>
  <si>
    <t>ST354</t>
  </si>
  <si>
    <t>ST355</t>
  </si>
  <si>
    <t>ST356</t>
  </si>
  <si>
    <t>ST357</t>
  </si>
  <si>
    <t>ST358</t>
  </si>
  <si>
    <t>ST359</t>
  </si>
  <si>
    <t>ST360</t>
  </si>
  <si>
    <t>ST361</t>
  </si>
  <si>
    <t>ST362</t>
  </si>
  <si>
    <t>ST363</t>
  </si>
  <si>
    <t>ST364</t>
  </si>
  <si>
    <t>ST365</t>
  </si>
  <si>
    <t>ST366</t>
  </si>
  <si>
    <t>ST367</t>
  </si>
  <si>
    <t>ST368</t>
  </si>
  <si>
    <t>ST369</t>
  </si>
  <si>
    <t>ST370</t>
  </si>
  <si>
    <t>ST371</t>
  </si>
  <si>
    <t>ST372</t>
  </si>
  <si>
    <t>ST373</t>
  </si>
  <si>
    <t>ST374</t>
  </si>
  <si>
    <t>ST375</t>
  </si>
  <si>
    <t>ST376</t>
  </si>
  <si>
    <t>ST377</t>
  </si>
  <si>
    <t>ST378</t>
  </si>
  <si>
    <t>ST379</t>
  </si>
  <si>
    <t>ST380</t>
  </si>
  <si>
    <t>ST381</t>
  </si>
  <si>
    <t>ST382</t>
  </si>
  <si>
    <t>ST383</t>
  </si>
  <si>
    <t>ST384</t>
  </si>
  <si>
    <t>ST385</t>
  </si>
  <si>
    <t>ST386</t>
  </si>
  <si>
    <t>ST387</t>
  </si>
  <si>
    <t>ST388</t>
  </si>
  <si>
    <t>ST389</t>
  </si>
  <si>
    <t>ST390</t>
  </si>
  <si>
    <t>ST391</t>
  </si>
  <si>
    <t>ST392</t>
  </si>
  <si>
    <t>ST393</t>
  </si>
  <si>
    <t>ST394</t>
  </si>
  <si>
    <t>ST395</t>
  </si>
  <si>
    <t>ST396</t>
  </si>
  <si>
    <t>ST397</t>
  </si>
  <si>
    <t>ST398</t>
  </si>
  <si>
    <t>ST399</t>
  </si>
  <si>
    <t>ST400</t>
  </si>
  <si>
    <t>ST401</t>
  </si>
  <si>
    <t>ST402</t>
  </si>
  <si>
    <t>ST403</t>
  </si>
  <si>
    <t>ST404</t>
  </si>
  <si>
    <t>ST405</t>
  </si>
  <si>
    <t>ST406</t>
  </si>
  <si>
    <t>ST407</t>
  </si>
  <si>
    <t>ST408</t>
  </si>
  <si>
    <t>ST409</t>
  </si>
  <si>
    <t>ST410</t>
  </si>
  <si>
    <t>ST411</t>
  </si>
  <si>
    <t>ST412</t>
  </si>
  <si>
    <t>ST413</t>
  </si>
  <si>
    <t>ST414</t>
  </si>
  <si>
    <t>ST415</t>
  </si>
  <si>
    <t>ST416</t>
  </si>
  <si>
    <t>ST417</t>
  </si>
  <si>
    <t>ST418</t>
  </si>
  <si>
    <t>ST419</t>
  </si>
  <si>
    <t>ST420</t>
  </si>
  <si>
    <t>ST421</t>
  </si>
  <si>
    <t>ST422</t>
  </si>
  <si>
    <t>ST423</t>
  </si>
  <si>
    <t>ST424</t>
  </si>
  <si>
    <t>ST425</t>
  </si>
  <si>
    <t>ST426</t>
  </si>
  <si>
    <t>ST427</t>
  </si>
  <si>
    <t>ST428</t>
  </si>
  <si>
    <t>ST429</t>
  </si>
  <si>
    <t>ST430</t>
  </si>
  <si>
    <t>ST431</t>
  </si>
  <si>
    <t>ST432</t>
  </si>
  <si>
    <t>ST433</t>
  </si>
  <si>
    <t>ST434</t>
  </si>
  <si>
    <t>ST435</t>
  </si>
  <si>
    <t>ST436</t>
  </si>
  <si>
    <t>ST437</t>
  </si>
  <si>
    <t>ST438</t>
  </si>
  <si>
    <t>ST439</t>
  </si>
  <si>
    <t>ST440</t>
  </si>
  <si>
    <t>ST441</t>
  </si>
  <si>
    <t>ST442</t>
  </si>
  <si>
    <t>ST443</t>
  </si>
  <si>
    <t>ST444</t>
  </si>
  <si>
    <t>ST445</t>
  </si>
  <si>
    <t>ST446</t>
  </si>
  <si>
    <t>ST447</t>
  </si>
  <si>
    <t>ST448</t>
  </si>
  <si>
    <t>ST449</t>
  </si>
  <si>
    <t>ST450</t>
  </si>
  <si>
    <t>ST451</t>
  </si>
  <si>
    <t>ST452</t>
  </si>
  <si>
    <t>ST453</t>
  </si>
  <si>
    <t>ST454</t>
  </si>
  <si>
    <t>ST455</t>
  </si>
  <si>
    <t>ST456</t>
  </si>
  <si>
    <t>ST457</t>
  </si>
  <si>
    <t>ST458</t>
  </si>
  <si>
    <t>ST459</t>
  </si>
  <si>
    <t>ST460</t>
  </si>
  <si>
    <t>ST461</t>
  </si>
  <si>
    <t>ST462</t>
  </si>
  <si>
    <t>ST463</t>
  </si>
  <si>
    <t>ST464</t>
  </si>
  <si>
    <t>ST465</t>
  </si>
  <si>
    <t>ST466</t>
  </si>
  <si>
    <t>ST467</t>
  </si>
  <si>
    <t>ST468</t>
  </si>
  <si>
    <t>ST469</t>
  </si>
  <si>
    <t>ST470</t>
  </si>
  <si>
    <t>ST471</t>
  </si>
  <si>
    <t>ST472</t>
  </si>
  <si>
    <t>ST473</t>
  </si>
  <si>
    <t>ST474</t>
  </si>
  <si>
    <t>ST475</t>
  </si>
  <si>
    <t>ST476</t>
  </si>
  <si>
    <t>ST477</t>
  </si>
  <si>
    <t>ST478</t>
  </si>
  <si>
    <t>ST479</t>
  </si>
  <si>
    <t>ST480</t>
  </si>
  <si>
    <t>ST481</t>
  </si>
  <si>
    <t>ST482</t>
  </si>
  <si>
    <t>ST483</t>
  </si>
  <si>
    <t>ST484</t>
  </si>
  <si>
    <t>ST485</t>
  </si>
  <si>
    <t>ST486</t>
  </si>
  <si>
    <t>ST487</t>
  </si>
  <si>
    <t>ST488</t>
  </si>
  <si>
    <t>ST489</t>
  </si>
  <si>
    <t>ST490</t>
  </si>
  <si>
    <t>ST491</t>
  </si>
  <si>
    <t>ST492</t>
  </si>
  <si>
    <t>ST493</t>
  </si>
  <si>
    <t>ST494</t>
  </si>
  <si>
    <t>ST495</t>
  </si>
  <si>
    <t>ST496</t>
  </si>
  <si>
    <t>ST497</t>
  </si>
  <si>
    <t>ST498</t>
  </si>
  <si>
    <t>ST499</t>
  </si>
  <si>
    <t>ST500</t>
  </si>
  <si>
    <t>Total Charging Sessions</t>
  </si>
  <si>
    <t>Total Revenue</t>
  </si>
  <si>
    <t>Total Energy Consumed</t>
  </si>
  <si>
    <t>Average Charging Cost</t>
  </si>
  <si>
    <t>Average Energy per Session</t>
  </si>
  <si>
    <t>Grand Total</t>
  </si>
  <si>
    <t>Vehicle Type</t>
  </si>
  <si>
    <t>Payment Method</t>
  </si>
  <si>
    <t>Start_Hour</t>
  </si>
  <si>
    <t>Charging sessions</t>
  </si>
  <si>
    <t>Total Energy (kWh)</t>
  </si>
  <si>
    <t>Charging Sessions</t>
  </si>
  <si>
    <t>Hour</t>
  </si>
  <si>
    <t>EV CHARGING NETWORK ANALYTICS DASHBOARD</t>
  </si>
  <si>
    <r>
      <rPr>
        <b/>
        <sz val="12"/>
        <color theme="1"/>
        <rFont val="Calibri"/>
        <family val="2"/>
        <scheme val="minor"/>
      </rPr>
      <t>Total Charging Sessions</t>
    </r>
    <r>
      <rPr>
        <sz val="11"/>
        <color theme="9" tint="-0.499984740745262"/>
        <rFont val="Calibri"/>
        <family val="2"/>
        <scheme val="minor"/>
      </rPr>
      <t xml:space="preserve">
</t>
    </r>
    <r>
      <rPr>
        <b/>
        <sz val="22"/>
        <color rgb="FF00B050"/>
        <rFont val="Calibri"/>
        <family val="2"/>
        <scheme val="minor"/>
      </rPr>
      <t>500</t>
    </r>
    <r>
      <rPr>
        <sz val="11"/>
        <color theme="9" tint="-0.499984740745262"/>
        <rFont val="Calibri"/>
        <family val="2"/>
        <scheme val="minor"/>
      </rPr>
      <t xml:space="preserve">
</t>
    </r>
    <r>
      <rPr>
        <b/>
        <sz val="10"/>
        <color theme="1"/>
        <rFont val="Calibri"/>
        <family val="2"/>
        <scheme val="minor"/>
      </rPr>
      <t>Sessions</t>
    </r>
  </si>
  <si>
    <r>
      <rPr>
        <b/>
        <sz val="12"/>
        <color theme="1"/>
        <rFont val="Calibri"/>
        <family val="2"/>
        <scheme val="minor"/>
      </rPr>
      <t>Total Revenue</t>
    </r>
    <r>
      <rPr>
        <sz val="11"/>
        <color theme="1"/>
        <rFont val="Calibri"/>
        <family val="2"/>
        <scheme val="minor"/>
      </rPr>
      <t xml:space="preserve">
</t>
    </r>
    <r>
      <rPr>
        <b/>
        <sz val="22"/>
        <color rgb="FF00B050"/>
        <rFont val="Calibri"/>
        <family val="2"/>
        <scheme val="minor"/>
      </rPr>
      <t>263,402</t>
    </r>
    <r>
      <rPr>
        <sz val="11"/>
        <color theme="1"/>
        <rFont val="Calibri"/>
        <family val="2"/>
        <scheme val="minor"/>
      </rPr>
      <t xml:space="preserve">
</t>
    </r>
    <r>
      <rPr>
        <b/>
        <sz val="10"/>
        <color theme="1"/>
        <rFont val="Calibri"/>
        <family val="2"/>
        <scheme val="minor"/>
      </rPr>
      <t>Revenue</t>
    </r>
  </si>
  <si>
    <r>
      <t xml:space="preserve">Total Energy Consumed
</t>
    </r>
    <r>
      <rPr>
        <b/>
        <sz val="22"/>
        <color rgb="FF00B050"/>
        <rFont val="Calibri"/>
        <family val="2"/>
        <scheme val="minor"/>
      </rPr>
      <t>26,340.20</t>
    </r>
    <r>
      <rPr>
        <b/>
        <sz val="12"/>
        <color theme="1"/>
        <rFont val="Calibri"/>
        <family val="2"/>
        <scheme val="minor"/>
      </rPr>
      <t xml:space="preserve">
</t>
    </r>
    <r>
      <rPr>
        <b/>
        <sz val="10"/>
        <color theme="1"/>
        <rFont val="Calibri"/>
        <family val="2"/>
        <scheme val="minor"/>
      </rPr>
      <t>kWh</t>
    </r>
  </si>
  <si>
    <r>
      <t xml:space="preserve">Average Charging Cost
</t>
    </r>
    <r>
      <rPr>
        <b/>
        <sz val="22"/>
        <color rgb="FF00B050"/>
        <rFont val="Calibri"/>
        <family val="2"/>
        <scheme val="minor"/>
      </rPr>
      <t>527</t>
    </r>
    <r>
      <rPr>
        <b/>
        <sz val="12"/>
        <color theme="1"/>
        <rFont val="Calibri"/>
        <family val="2"/>
        <scheme val="minor"/>
      </rPr>
      <t xml:space="preserve">
</t>
    </r>
    <r>
      <rPr>
        <b/>
        <sz val="10"/>
        <color theme="1"/>
        <rFont val="Calibri"/>
        <family val="2"/>
        <scheme val="minor"/>
      </rPr>
      <t>Per Session</t>
    </r>
  </si>
  <si>
    <r>
      <t xml:space="preserve">Average Energy per Session
</t>
    </r>
    <r>
      <rPr>
        <b/>
        <sz val="22"/>
        <color rgb="FF00B050"/>
        <rFont val="Calibri"/>
        <family val="2"/>
        <scheme val="minor"/>
      </rPr>
      <t>52.68</t>
    </r>
    <r>
      <rPr>
        <b/>
        <sz val="12"/>
        <color rgb="FF00B050"/>
        <rFont val="Calibri"/>
        <family val="2"/>
        <scheme val="minor"/>
      </rPr>
      <t xml:space="preserve">
</t>
    </r>
    <r>
      <rPr>
        <b/>
        <sz val="10"/>
        <color theme="1"/>
        <rFont val="Calibri"/>
        <family val="2"/>
        <scheme val="minor"/>
      </rPr>
      <t>kWh/Session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</si>
</sst>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hh:mm:ss\ AM/PM;@"/>
    <numFmt numFmtId="165" formatCode="[$-F400]h:mm:ss\ AM/PM"/>
    <numFmt numFmtId="166" formatCode="[$₹-4009]\ #,##0"/>
    <numFmt numFmtId="167" formatCode="0.0"/>
  </numFmts>
  <fonts count="8" x14ac:knownFonts="1">
    <font>
      <sz val="11"/>
      <color theme="1"/>
      <name val="Calibri"/>
      <family val="2"/>
      <scheme val="minor"/>
    </font>
    <font>
      <b/>
      <sz val="11"/>
      <color theme="1"/>
      <name val="Calibri"/>
      <family val="2"/>
      <scheme val="minor"/>
    </font>
    <font>
      <b/>
      <sz val="20"/>
      <color theme="0"/>
      <name val="Calibri"/>
      <family val="2"/>
      <scheme val="minor"/>
    </font>
    <font>
      <sz val="11"/>
      <color theme="9" tint="-0.499984740745262"/>
      <name val="Calibri"/>
      <family val="2"/>
      <scheme val="minor"/>
    </font>
    <font>
      <b/>
      <sz val="12"/>
      <color theme="1"/>
      <name val="Calibri"/>
      <family val="2"/>
      <scheme val="minor"/>
    </font>
    <font>
      <b/>
      <sz val="10"/>
      <color theme="1"/>
      <name val="Calibri"/>
      <family val="2"/>
      <scheme val="minor"/>
    </font>
    <font>
      <b/>
      <sz val="22"/>
      <color rgb="FF00B050"/>
      <name val="Calibri"/>
      <family val="2"/>
      <scheme val="minor"/>
    </font>
    <font>
      <b/>
      <sz val="12"/>
      <color rgb="FF00B05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14" fontId="0" fillId="0" borderId="0" xfId="0" applyNumberFormat="1"/>
    <xf numFmtId="2" fontId="0" fillId="0" borderId="0" xfId="0" applyNumberFormat="1"/>
    <xf numFmtId="164" fontId="0" fillId="0" borderId="0" xfId="0" applyNumberFormat="1"/>
    <xf numFmtId="165" fontId="0" fillId="0" borderId="0" xfId="0" applyNumberFormat="1"/>
    <xf numFmtId="166" fontId="0" fillId="0" borderId="0" xfId="0" applyNumberFormat="1"/>
    <xf numFmtId="0" fontId="1" fillId="2" borderId="1" xfId="0" applyFont="1" applyFill="1" applyBorder="1" applyAlignment="1">
      <alignment horizontal="center" vertical="center"/>
    </xf>
    <xf numFmtId="0" fontId="0" fillId="2" borderId="1" xfId="0" applyFill="1" applyBorder="1"/>
    <xf numFmtId="166" fontId="0" fillId="2" borderId="1" xfId="0" applyNumberFormat="1" applyFill="1" applyBorder="1"/>
    <xf numFmtId="2" fontId="0" fillId="2" borderId="1" xfId="0" applyNumberFormat="1" applyFill="1" applyBorder="1"/>
    <xf numFmtId="0" fontId="0" fillId="0" borderId="0" xfId="0" pivotButton="1"/>
    <xf numFmtId="0" fontId="0" fillId="0" borderId="0" xfId="0" applyAlignment="1">
      <alignment horizontal="left"/>
    </xf>
    <xf numFmtId="3" fontId="0" fillId="0" borderId="0" xfId="0" applyNumberFormat="1"/>
    <xf numFmtId="1" fontId="0" fillId="0" borderId="0" xfId="0" applyNumberFormat="1"/>
    <xf numFmtId="167" fontId="0" fillId="0" borderId="0" xfId="0" applyNumberFormat="1"/>
    <xf numFmtId="0" fontId="4" fillId="0" borderId="0" xfId="0" applyFont="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0" fontId="2" fillId="3" borderId="0" xfId="0" applyFont="1" applyFill="1" applyAlignment="1">
      <alignment horizontal="center" vertical="center"/>
    </xf>
    <xf numFmtId="0" fontId="3" fillId="0" borderId="0" xfId="0" applyFont="1" applyAlignment="1">
      <alignment horizontal="center" vertical="center" wrapText="1"/>
    </xf>
    <xf numFmtId="0" fontId="0" fillId="0" borderId="0" xfId="0" applyAlignment="1">
      <alignment horizontal="center" vertical="center" wrapText="1"/>
    </xf>
    <xf numFmtId="0" fontId="0" fillId="0" borderId="0" xfId="0" applyNumberFormat="1"/>
  </cellXfs>
  <cellStyles count="1">
    <cellStyle name="Normal" xfId="0" builtinId="0"/>
  </cellStyles>
  <dxfs count="41">
    <dxf>
      <numFmt numFmtId="2" formatCode="0.00"/>
    </dxf>
    <dxf>
      <numFmt numFmtId="2" formatCode="0.00"/>
    </dxf>
    <dxf>
      <numFmt numFmtId="167" formatCode="0.0"/>
    </dxf>
    <dxf>
      <numFmt numFmtId="166" formatCode="[$₹-4009]\ #,##0"/>
    </dxf>
    <dxf>
      <numFmt numFmtId="1" formatCode="0"/>
    </dxf>
    <dxf>
      <numFmt numFmtId="2" formatCode="0.00"/>
    </dxf>
    <dxf>
      <numFmt numFmtId="3" formatCode="#,##0"/>
    </dxf>
    <dxf>
      <numFmt numFmtId="2" formatCode="0.00"/>
    </dxf>
    <dxf>
      <numFmt numFmtId="2" formatCode="0.00"/>
    </dxf>
    <dxf>
      <numFmt numFmtId="167" formatCode="0.0"/>
    </dxf>
    <dxf>
      <numFmt numFmtId="166" formatCode="[$₹-4009]\ #,##0"/>
    </dxf>
    <dxf>
      <numFmt numFmtId="1" formatCode="0"/>
    </dxf>
    <dxf>
      <numFmt numFmtId="2" formatCode="0.00"/>
    </dxf>
    <dxf>
      <numFmt numFmtId="3" formatCode="#,##0"/>
    </dxf>
    <dxf>
      <numFmt numFmtId="2" formatCode="0.00"/>
    </dxf>
    <dxf>
      <numFmt numFmtId="2" formatCode="0.00"/>
    </dxf>
    <dxf>
      <numFmt numFmtId="167" formatCode="0.0"/>
    </dxf>
    <dxf>
      <numFmt numFmtId="166" formatCode="[$₹-4009]\ #,##0"/>
    </dxf>
    <dxf>
      <numFmt numFmtId="1" formatCode="0"/>
    </dxf>
    <dxf>
      <numFmt numFmtId="2" formatCode="0.00"/>
    </dxf>
    <dxf>
      <numFmt numFmtId="3" formatCode="#,##0"/>
    </dxf>
    <dxf>
      <numFmt numFmtId="2" formatCode="0.00"/>
    </dxf>
    <dxf>
      <numFmt numFmtId="2" formatCode="0.00"/>
    </dxf>
    <dxf>
      <numFmt numFmtId="167" formatCode="0.0"/>
    </dxf>
    <dxf>
      <numFmt numFmtId="166" formatCode="[$₹-4009]\ #,##0"/>
    </dxf>
    <dxf>
      <numFmt numFmtId="1" formatCode="0"/>
    </dxf>
    <dxf>
      <numFmt numFmtId="2" formatCode="0.00"/>
    </dxf>
    <dxf>
      <numFmt numFmtId="3" formatCode="#,##0"/>
    </dxf>
    <dxf>
      <numFmt numFmtId="0" formatCode="General"/>
    </dxf>
    <dxf>
      <numFmt numFmtId="166" formatCode="[$₹-4009]\ #,##0"/>
    </dxf>
    <dxf>
      <numFmt numFmtId="2" formatCode="0.00"/>
    </dxf>
    <dxf>
      <numFmt numFmtId="165" formatCode="[$-F400]h:mm:ss\ AM/PM"/>
    </dxf>
    <dxf>
      <numFmt numFmtId="164" formatCode="[$-409]hh:mm:ss\ AM/PM;@"/>
    </dxf>
    <dxf>
      <numFmt numFmtId="19" formatCode="dd/mm/yyyy"/>
    </dxf>
    <dxf>
      <numFmt numFmtId="2" formatCode="0.00"/>
    </dxf>
    <dxf>
      <numFmt numFmtId="167" formatCode="0.0"/>
    </dxf>
    <dxf>
      <numFmt numFmtId="2" formatCode="0.00"/>
    </dxf>
    <dxf>
      <numFmt numFmtId="1" formatCode="0"/>
    </dxf>
    <dxf>
      <numFmt numFmtId="166" formatCode="[$₹-4009]\ #,##0"/>
    </dxf>
    <dxf>
      <numFmt numFmtId="2" formatCode="0.00"/>
    </dxf>
    <dxf>
      <numFmt numFmtId="3" formatCode="#,##0"/>
    </dxf>
  </dxfs>
  <tableStyles count="2" defaultTableStyle="TableStyleMedium2" defaultPivotStyle="PivotStyleLight16">
    <tableStyle name="Slicer Style 1" pivot="0" table="0" count="1" xr9:uid="{DCBBA486-1EFF-46C9-A9B3-7C8A3FA2C844}"/>
    <tableStyle name="Slicer Style 2" pivot="0" table="0" count="0" xr9:uid="{5FE4650C-083D-4945-A045-E6D31B631BAD}"/>
  </tableStyles>
  <colors>
    <mruColors>
      <color rgb="FF0F172A"/>
    </mruColors>
  </colors>
  <extLst>
    <ext xmlns:x14="http://schemas.microsoft.com/office/spreadsheetml/2009/9/main" uri="{46F421CA-312F-682f-3DD2-61675219B42D}">
      <x14:dxfs count="1">
        <dxf>
          <fill>
            <patternFill>
              <bgColor rgb="FF00B05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a:t>
            </a:r>
            <a:r>
              <a:rPr lang="en-IN" baseline="0"/>
              <a:t>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Delhi</c:v>
                </c:pt>
                <c:pt idx="1">
                  <c:v>Jaipur</c:v>
                </c:pt>
                <c:pt idx="2">
                  <c:v>Kolkata</c:v>
                </c:pt>
                <c:pt idx="3">
                  <c:v>Ahmedabad</c:v>
                </c:pt>
                <c:pt idx="4">
                  <c:v>Bhopal</c:v>
                </c:pt>
                <c:pt idx="5">
                  <c:v>Pune</c:v>
                </c:pt>
                <c:pt idx="6">
                  <c:v>Indore</c:v>
                </c:pt>
                <c:pt idx="7">
                  <c:v>Hyderabad</c:v>
                </c:pt>
                <c:pt idx="8">
                  <c:v>Chennai</c:v>
                </c:pt>
                <c:pt idx="9">
                  <c:v>Mumbai</c:v>
                </c:pt>
              </c:strCache>
            </c:strRef>
          </c:cat>
          <c:val>
            <c:numRef>
              <c:f>Sheet2!$B$4:$B$14</c:f>
              <c:numCache>
                <c:formatCode>#,##0</c:formatCode>
                <c:ptCount val="10"/>
                <c:pt idx="0">
                  <c:v>34827</c:v>
                </c:pt>
                <c:pt idx="1">
                  <c:v>30760</c:v>
                </c:pt>
                <c:pt idx="2">
                  <c:v>28630</c:v>
                </c:pt>
                <c:pt idx="3">
                  <c:v>27647</c:v>
                </c:pt>
                <c:pt idx="4">
                  <c:v>27369</c:v>
                </c:pt>
                <c:pt idx="5">
                  <c:v>27030</c:v>
                </c:pt>
                <c:pt idx="6">
                  <c:v>22561</c:v>
                </c:pt>
                <c:pt idx="7">
                  <c:v>21802</c:v>
                </c:pt>
                <c:pt idx="8">
                  <c:v>21457</c:v>
                </c:pt>
                <c:pt idx="9">
                  <c:v>21319</c:v>
                </c:pt>
              </c:numCache>
            </c:numRef>
          </c:val>
          <c:extLst>
            <c:ext xmlns:c16="http://schemas.microsoft.com/office/drawing/2014/chart" uri="{C3380CC4-5D6E-409C-BE32-E72D297353CC}">
              <c16:uniqueId val="{00000000-D201-4BB8-8EB0-10FBD6CF11FC}"/>
            </c:ext>
          </c:extLst>
        </c:ser>
        <c:dLbls>
          <c:dLblPos val="outEnd"/>
          <c:showLegendKey val="0"/>
          <c:showVal val="1"/>
          <c:showCatName val="0"/>
          <c:showSerName val="0"/>
          <c:showPercent val="0"/>
          <c:showBubbleSize val="0"/>
        </c:dLbls>
        <c:gapWidth val="219"/>
        <c:overlap val="-27"/>
        <c:axId val="1223417807"/>
        <c:axId val="1223428847"/>
      </c:barChart>
      <c:catAx>
        <c:axId val="1223417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28847"/>
        <c:crosses val="autoZero"/>
        <c:auto val="1"/>
        <c:lblAlgn val="ctr"/>
        <c:lblOffset val="100"/>
        <c:noMultiLvlLbl val="0"/>
      </c:catAx>
      <c:valAx>
        <c:axId val="1223428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Charging Sessions by Vehicle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Truck</c:v>
                </c:pt>
                <c:pt idx="1">
                  <c:v>Car</c:v>
                </c:pt>
                <c:pt idx="2">
                  <c:v>Bike</c:v>
                </c:pt>
                <c:pt idx="3">
                  <c:v>Bus</c:v>
                </c:pt>
              </c:strCache>
            </c:strRef>
          </c:cat>
          <c:val>
            <c:numRef>
              <c:f>Sheet3!$B$4:$B$8</c:f>
              <c:numCache>
                <c:formatCode>General</c:formatCode>
                <c:ptCount val="4"/>
                <c:pt idx="0">
                  <c:v>132</c:v>
                </c:pt>
                <c:pt idx="1">
                  <c:v>131</c:v>
                </c:pt>
                <c:pt idx="2">
                  <c:v>121</c:v>
                </c:pt>
                <c:pt idx="3">
                  <c:v>116</c:v>
                </c:pt>
              </c:numCache>
            </c:numRef>
          </c:val>
          <c:extLst>
            <c:ext xmlns:c16="http://schemas.microsoft.com/office/drawing/2014/chart" uri="{C3380CC4-5D6E-409C-BE32-E72D297353CC}">
              <c16:uniqueId val="{00000000-561D-476B-96E2-A8523C85E159}"/>
            </c:ext>
          </c:extLst>
        </c:ser>
        <c:dLbls>
          <c:dLblPos val="outEnd"/>
          <c:showLegendKey val="0"/>
          <c:showVal val="1"/>
          <c:showCatName val="0"/>
          <c:showSerName val="0"/>
          <c:showPercent val="0"/>
          <c:showBubbleSize val="0"/>
        </c:dLbls>
        <c:gapWidth val="182"/>
        <c:axId val="1223456687"/>
        <c:axId val="1223458607"/>
      </c:barChart>
      <c:catAx>
        <c:axId val="12234566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58607"/>
        <c:crosses val="autoZero"/>
        <c:auto val="1"/>
        <c:lblAlgn val="ctr"/>
        <c:lblOffset val="100"/>
        <c:noMultiLvlLbl val="0"/>
      </c:catAx>
      <c:valAx>
        <c:axId val="122345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Charging</a:t>
                </a:r>
                <a:r>
                  <a:rPr lang="en-US" baseline="0"/>
                  <a:t> Sessions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5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46A-4ED0-A76B-F7F857532A4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46A-4ED0-A76B-F7F857532A4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246A-4ED0-A76B-F7F857532A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Cash</c:v>
                </c:pt>
                <c:pt idx="1">
                  <c:v>UPI</c:v>
                </c:pt>
                <c:pt idx="2">
                  <c:v>Card</c:v>
                </c:pt>
              </c:strCache>
            </c:strRef>
          </c:cat>
          <c:val>
            <c:numRef>
              <c:f>Sheet4!$B$4:$B$7</c:f>
              <c:numCache>
                <c:formatCode>0</c:formatCode>
                <c:ptCount val="3"/>
                <c:pt idx="0">
                  <c:v>94268</c:v>
                </c:pt>
                <c:pt idx="1">
                  <c:v>85600</c:v>
                </c:pt>
                <c:pt idx="2">
                  <c:v>83534</c:v>
                </c:pt>
              </c:numCache>
            </c:numRef>
          </c:val>
          <c:extLst>
            <c:ext xmlns:c16="http://schemas.microsoft.com/office/drawing/2014/chart" uri="{C3380CC4-5D6E-409C-BE32-E72D297353CC}">
              <c16:uniqueId val="{00000000-1273-4B39-A8F3-1668EB046F4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Energy </a:t>
            </a:r>
            <a:r>
              <a:rPr lang="en-IN"/>
              <a:t>Consumption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Sheet5!$A$4:$A$14</c:f>
              <c:strCache>
                <c:ptCount val="10"/>
                <c:pt idx="0">
                  <c:v>Delhi</c:v>
                </c:pt>
                <c:pt idx="1">
                  <c:v>Jaipur</c:v>
                </c:pt>
                <c:pt idx="2">
                  <c:v>Kolkata</c:v>
                </c:pt>
                <c:pt idx="3">
                  <c:v>Ahmedabad</c:v>
                </c:pt>
                <c:pt idx="4">
                  <c:v>Bhopal</c:v>
                </c:pt>
                <c:pt idx="5">
                  <c:v>Pune</c:v>
                </c:pt>
                <c:pt idx="6">
                  <c:v>Indore</c:v>
                </c:pt>
                <c:pt idx="7">
                  <c:v>Hyderabad</c:v>
                </c:pt>
                <c:pt idx="8">
                  <c:v>Chennai</c:v>
                </c:pt>
                <c:pt idx="9">
                  <c:v>Mumbai</c:v>
                </c:pt>
              </c:strCache>
            </c:strRef>
          </c:cat>
          <c:val>
            <c:numRef>
              <c:f>Sheet5!$B$4:$B$14</c:f>
              <c:numCache>
                <c:formatCode>0.0</c:formatCode>
                <c:ptCount val="10"/>
                <c:pt idx="0">
                  <c:v>3482.7000000000007</c:v>
                </c:pt>
                <c:pt idx="1">
                  <c:v>3076.0000000000005</c:v>
                </c:pt>
                <c:pt idx="2">
                  <c:v>2863</c:v>
                </c:pt>
                <c:pt idx="3">
                  <c:v>2764.6999999999989</c:v>
                </c:pt>
                <c:pt idx="4">
                  <c:v>2736.9</c:v>
                </c:pt>
                <c:pt idx="5">
                  <c:v>2702.9999999999995</c:v>
                </c:pt>
                <c:pt idx="6">
                  <c:v>2256.0999999999995</c:v>
                </c:pt>
                <c:pt idx="7">
                  <c:v>2180.2000000000003</c:v>
                </c:pt>
                <c:pt idx="8">
                  <c:v>2145.7000000000003</c:v>
                </c:pt>
                <c:pt idx="9">
                  <c:v>2131.8999999999996</c:v>
                </c:pt>
              </c:numCache>
            </c:numRef>
          </c:val>
          <c:extLst>
            <c:ext xmlns:c16="http://schemas.microsoft.com/office/drawing/2014/chart" uri="{C3380CC4-5D6E-409C-BE32-E72D297353CC}">
              <c16:uniqueId val="{00000000-750C-4BB9-BD09-6F35D6B5574E}"/>
            </c:ext>
          </c:extLst>
        </c:ser>
        <c:dLbls>
          <c:dLblPos val="outEnd"/>
          <c:showLegendKey val="0"/>
          <c:showVal val="1"/>
          <c:showCatName val="0"/>
          <c:showSerName val="0"/>
          <c:showPercent val="0"/>
          <c:showBubbleSize val="0"/>
        </c:dLbls>
        <c:gapWidth val="219"/>
        <c:overlap val="-27"/>
        <c:axId val="1223481167"/>
        <c:axId val="1223479247"/>
      </c:barChart>
      <c:catAx>
        <c:axId val="1223481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79247"/>
        <c:crosses val="autoZero"/>
        <c:auto val="1"/>
        <c:lblAlgn val="ctr"/>
        <c:lblOffset val="100"/>
        <c:noMultiLvlLbl val="0"/>
      </c:catAx>
      <c:valAx>
        <c:axId val="12234792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Energy (kWh)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8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[EV_Charging_Station.xlsx]Sheet8!PivotTable3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a:t>
            </a:r>
            <a:r>
              <a:rPr lang="en-US" baseline="0"/>
              <a:t> Charging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Sheet8!$A$4:$A$19</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Sheet8!$B$4:$B$19</c:f>
              <c:numCache>
                <c:formatCode>General</c:formatCode>
                <c:ptCount val="15"/>
                <c:pt idx="0">
                  <c:v>41</c:v>
                </c:pt>
                <c:pt idx="1">
                  <c:v>39</c:v>
                </c:pt>
                <c:pt idx="2">
                  <c:v>37</c:v>
                </c:pt>
                <c:pt idx="3">
                  <c:v>24</c:v>
                </c:pt>
                <c:pt idx="4">
                  <c:v>33</c:v>
                </c:pt>
                <c:pt idx="5">
                  <c:v>34</c:v>
                </c:pt>
                <c:pt idx="6">
                  <c:v>26</c:v>
                </c:pt>
                <c:pt idx="7">
                  <c:v>30</c:v>
                </c:pt>
                <c:pt idx="8">
                  <c:v>37</c:v>
                </c:pt>
                <c:pt idx="9">
                  <c:v>35</c:v>
                </c:pt>
                <c:pt idx="10">
                  <c:v>35</c:v>
                </c:pt>
                <c:pt idx="11">
                  <c:v>35</c:v>
                </c:pt>
                <c:pt idx="12">
                  <c:v>39</c:v>
                </c:pt>
                <c:pt idx="13">
                  <c:v>34</c:v>
                </c:pt>
                <c:pt idx="14">
                  <c:v>21</c:v>
                </c:pt>
              </c:numCache>
            </c:numRef>
          </c:val>
          <c:smooth val="0"/>
          <c:extLst>
            <c:ext xmlns:c16="http://schemas.microsoft.com/office/drawing/2014/chart" uri="{C3380CC4-5D6E-409C-BE32-E72D297353CC}">
              <c16:uniqueId val="{00000000-CE75-4D1F-8E09-E822E786127A}"/>
            </c:ext>
          </c:extLst>
        </c:ser>
        <c:dLbls>
          <c:dLblPos val="t"/>
          <c:showLegendKey val="0"/>
          <c:showVal val="1"/>
          <c:showCatName val="0"/>
          <c:showSerName val="0"/>
          <c:showPercent val="0"/>
          <c:showBubbleSize val="0"/>
        </c:dLbls>
        <c:marker val="1"/>
        <c:smooth val="0"/>
        <c:axId val="1223480687"/>
        <c:axId val="1223481647"/>
      </c:lineChart>
      <c:catAx>
        <c:axId val="1223480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a:t>
                </a:r>
                <a:r>
                  <a:rPr lang="en-IN" baseline="0"/>
                  <a:t> of the Day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81647"/>
        <c:crosses val="autoZero"/>
        <c:auto val="1"/>
        <c:lblAlgn val="ctr"/>
        <c:lblOffset val="100"/>
        <c:noMultiLvlLbl val="0"/>
      </c:catAx>
      <c:valAx>
        <c:axId val="1223481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Charging</a:t>
                </a:r>
                <a:r>
                  <a:rPr lang="en-IN" baseline="0"/>
                  <a:t> Sessions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8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[EV_Charging_Station.xlsx]Sheet2!PivotTable1</c:name>
    <c:fmtId val="14"/>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r>
              <a:rPr lang="en-IN" b="1">
                <a:solidFill>
                  <a:schemeClr val="accent4">
                    <a:lumMod val="75000"/>
                  </a:schemeClr>
                </a:solidFill>
              </a:rPr>
              <a:t>Revenue by</a:t>
            </a:r>
            <a:r>
              <a:rPr lang="en-IN" b="1" baseline="0">
                <a:solidFill>
                  <a:schemeClr val="accent4">
                    <a:lumMod val="75000"/>
                  </a:schemeClr>
                </a:solidFill>
              </a:rPr>
              <a:t> City</a:t>
            </a:r>
            <a:endParaRPr lang="en-IN" b="1">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Delhi</c:v>
                </c:pt>
                <c:pt idx="1">
                  <c:v>Jaipur</c:v>
                </c:pt>
                <c:pt idx="2">
                  <c:v>Kolkata</c:v>
                </c:pt>
                <c:pt idx="3">
                  <c:v>Ahmedabad</c:v>
                </c:pt>
                <c:pt idx="4">
                  <c:v>Bhopal</c:v>
                </c:pt>
                <c:pt idx="5">
                  <c:v>Pune</c:v>
                </c:pt>
                <c:pt idx="6">
                  <c:v>Indore</c:v>
                </c:pt>
                <c:pt idx="7">
                  <c:v>Hyderabad</c:v>
                </c:pt>
                <c:pt idx="8">
                  <c:v>Chennai</c:v>
                </c:pt>
                <c:pt idx="9">
                  <c:v>Mumbai</c:v>
                </c:pt>
              </c:strCache>
            </c:strRef>
          </c:cat>
          <c:val>
            <c:numRef>
              <c:f>Sheet2!$B$4:$B$14</c:f>
              <c:numCache>
                <c:formatCode>#,##0</c:formatCode>
                <c:ptCount val="10"/>
                <c:pt idx="0">
                  <c:v>34827</c:v>
                </c:pt>
                <c:pt idx="1">
                  <c:v>30760</c:v>
                </c:pt>
                <c:pt idx="2">
                  <c:v>28630</c:v>
                </c:pt>
                <c:pt idx="3">
                  <c:v>27647</c:v>
                </c:pt>
                <c:pt idx="4">
                  <c:v>27369</c:v>
                </c:pt>
                <c:pt idx="5">
                  <c:v>27030</c:v>
                </c:pt>
                <c:pt idx="6">
                  <c:v>22561</c:v>
                </c:pt>
                <c:pt idx="7">
                  <c:v>21802</c:v>
                </c:pt>
                <c:pt idx="8">
                  <c:v>21457</c:v>
                </c:pt>
                <c:pt idx="9">
                  <c:v>21319</c:v>
                </c:pt>
              </c:numCache>
            </c:numRef>
          </c:val>
          <c:extLst>
            <c:ext xmlns:c16="http://schemas.microsoft.com/office/drawing/2014/chart" uri="{C3380CC4-5D6E-409C-BE32-E72D297353CC}">
              <c16:uniqueId val="{00000000-4B8C-4A93-84F8-47E0E7AAEDF1}"/>
            </c:ext>
          </c:extLst>
        </c:ser>
        <c:dLbls>
          <c:dLblPos val="outEnd"/>
          <c:showLegendKey val="0"/>
          <c:showVal val="1"/>
          <c:showCatName val="0"/>
          <c:showSerName val="0"/>
          <c:showPercent val="0"/>
          <c:showBubbleSize val="0"/>
        </c:dLbls>
        <c:gapWidth val="219"/>
        <c:overlap val="-27"/>
        <c:axId val="1223417807"/>
        <c:axId val="1223428847"/>
      </c:barChart>
      <c:catAx>
        <c:axId val="1223417807"/>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City</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28847"/>
        <c:crosses val="autoZero"/>
        <c:auto val="1"/>
        <c:lblAlgn val="ctr"/>
        <c:lblOffset val="100"/>
        <c:noMultiLvlLbl val="0"/>
      </c:catAx>
      <c:valAx>
        <c:axId val="1223428847"/>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IN" sz="1100" b="1">
                    <a:solidFill>
                      <a:schemeClr val="tx1"/>
                    </a:solidFill>
                  </a:rPr>
                  <a:t>Revenue </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[EV_Charging_Station.xlsx]Sheet3!PivotTable2</c:name>
    <c:fmtId val="8"/>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r>
              <a:rPr lang="en-US" b="1">
                <a:solidFill>
                  <a:schemeClr val="accent4">
                    <a:lumMod val="75000"/>
                  </a:schemeClr>
                </a:solidFill>
              </a:rPr>
              <a:t>Charging Sessions by Vehicle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Truck</c:v>
                </c:pt>
                <c:pt idx="1">
                  <c:v>Car</c:v>
                </c:pt>
                <c:pt idx="2">
                  <c:v>Bike</c:v>
                </c:pt>
                <c:pt idx="3">
                  <c:v>Bus</c:v>
                </c:pt>
              </c:strCache>
            </c:strRef>
          </c:cat>
          <c:val>
            <c:numRef>
              <c:f>Sheet3!$B$4:$B$8</c:f>
              <c:numCache>
                <c:formatCode>General</c:formatCode>
                <c:ptCount val="4"/>
                <c:pt idx="0">
                  <c:v>132</c:v>
                </c:pt>
                <c:pt idx="1">
                  <c:v>131</c:v>
                </c:pt>
                <c:pt idx="2">
                  <c:v>121</c:v>
                </c:pt>
                <c:pt idx="3">
                  <c:v>116</c:v>
                </c:pt>
              </c:numCache>
            </c:numRef>
          </c:val>
          <c:extLst>
            <c:ext xmlns:c16="http://schemas.microsoft.com/office/drawing/2014/chart" uri="{C3380CC4-5D6E-409C-BE32-E72D297353CC}">
              <c16:uniqueId val="{00000000-C009-4963-AC8C-2F73B9BB4F90}"/>
            </c:ext>
          </c:extLst>
        </c:ser>
        <c:dLbls>
          <c:dLblPos val="outEnd"/>
          <c:showLegendKey val="0"/>
          <c:showVal val="1"/>
          <c:showCatName val="0"/>
          <c:showSerName val="0"/>
          <c:showPercent val="0"/>
          <c:showBubbleSize val="0"/>
        </c:dLbls>
        <c:gapWidth val="182"/>
        <c:axId val="1223456687"/>
        <c:axId val="1223458607"/>
      </c:barChart>
      <c:catAx>
        <c:axId val="1223456687"/>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Vehicle Type</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58607"/>
        <c:crosses val="autoZero"/>
        <c:auto val="1"/>
        <c:lblAlgn val="ctr"/>
        <c:lblOffset val="100"/>
        <c:noMultiLvlLbl val="0"/>
      </c:catAx>
      <c:valAx>
        <c:axId val="1223458607"/>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Charging</a:t>
                </a:r>
                <a:r>
                  <a:rPr lang="en-US" sz="1100" b="1" baseline="0">
                    <a:solidFill>
                      <a:schemeClr val="tx1"/>
                    </a:solidFill>
                  </a:rPr>
                  <a:t> Sessions</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5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[EV_Charging_Station.xlsx]Sheet4!PivotTable3</c:name>
    <c:fmtId val="24"/>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r>
              <a:rPr lang="en-IN" b="1">
                <a:solidFill>
                  <a:schemeClr val="accent4">
                    <a:lumMod val="75000"/>
                  </a:schemeClr>
                </a:solidFill>
              </a:rPr>
              <a:t>Revenue</a:t>
            </a:r>
            <a:r>
              <a:rPr lang="en-IN" b="1" baseline="0">
                <a:solidFill>
                  <a:schemeClr val="accent4">
                    <a:lumMod val="75000"/>
                  </a:schemeClr>
                </a:solidFill>
              </a:rPr>
              <a:t> by Payment Method</a:t>
            </a:r>
            <a:endParaRPr lang="en-IN" b="1">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EA2-4C5E-9519-63D0B6526CE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EA2-4C5E-9519-63D0B6526CE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3EA2-4C5E-9519-63D0B6526CE4}"/>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Sheet4!$A$4:$A$7</c:f>
              <c:strCache>
                <c:ptCount val="3"/>
                <c:pt idx="0">
                  <c:v>Cash</c:v>
                </c:pt>
                <c:pt idx="1">
                  <c:v>UPI</c:v>
                </c:pt>
                <c:pt idx="2">
                  <c:v>Card</c:v>
                </c:pt>
              </c:strCache>
            </c:strRef>
          </c:cat>
          <c:val>
            <c:numRef>
              <c:f>Sheet4!$B$4:$B$7</c:f>
              <c:numCache>
                <c:formatCode>0</c:formatCode>
                <c:ptCount val="3"/>
                <c:pt idx="0">
                  <c:v>94268</c:v>
                </c:pt>
                <c:pt idx="1">
                  <c:v>85600</c:v>
                </c:pt>
                <c:pt idx="2">
                  <c:v>83534</c:v>
                </c:pt>
              </c:numCache>
            </c:numRef>
          </c:val>
          <c:extLst>
            <c:ext xmlns:c16="http://schemas.microsoft.com/office/drawing/2014/chart" uri="{C3380CC4-5D6E-409C-BE32-E72D297353CC}">
              <c16:uniqueId val="{00000006-3EA2-4C5E-9519-63D0B6526CE4}"/>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[EV_Charging_Station.xlsx]Sheet5!PivotTable4</c:name>
    <c:fmtId val="3"/>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r>
              <a:rPr lang="en-US" b="1">
                <a:solidFill>
                  <a:schemeClr val="accent4">
                    <a:lumMod val="75000"/>
                  </a:schemeClr>
                </a:solidFill>
              </a:rPr>
              <a:t>Energy </a:t>
            </a:r>
            <a:r>
              <a:rPr lang="en-IN" b="1">
                <a:solidFill>
                  <a:schemeClr val="accent4">
                    <a:lumMod val="75000"/>
                  </a:schemeClr>
                </a:solidFill>
              </a:rPr>
              <a:t>Consumption by City</a:t>
            </a:r>
            <a:endParaRPr lang="en-US" b="1">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Sheet5!$A$4:$A$14</c:f>
              <c:strCache>
                <c:ptCount val="10"/>
                <c:pt idx="0">
                  <c:v>Delhi</c:v>
                </c:pt>
                <c:pt idx="1">
                  <c:v>Jaipur</c:v>
                </c:pt>
                <c:pt idx="2">
                  <c:v>Kolkata</c:v>
                </c:pt>
                <c:pt idx="3">
                  <c:v>Ahmedabad</c:v>
                </c:pt>
                <c:pt idx="4">
                  <c:v>Bhopal</c:v>
                </c:pt>
                <c:pt idx="5">
                  <c:v>Pune</c:v>
                </c:pt>
                <c:pt idx="6">
                  <c:v>Indore</c:v>
                </c:pt>
                <c:pt idx="7">
                  <c:v>Hyderabad</c:v>
                </c:pt>
                <c:pt idx="8">
                  <c:v>Chennai</c:v>
                </c:pt>
                <c:pt idx="9">
                  <c:v>Mumbai</c:v>
                </c:pt>
              </c:strCache>
            </c:strRef>
          </c:cat>
          <c:val>
            <c:numRef>
              <c:f>Sheet5!$B$4:$B$14</c:f>
              <c:numCache>
                <c:formatCode>0.0</c:formatCode>
                <c:ptCount val="10"/>
                <c:pt idx="0">
                  <c:v>3482.7000000000007</c:v>
                </c:pt>
                <c:pt idx="1">
                  <c:v>3076.0000000000005</c:v>
                </c:pt>
                <c:pt idx="2">
                  <c:v>2863</c:v>
                </c:pt>
                <c:pt idx="3">
                  <c:v>2764.6999999999989</c:v>
                </c:pt>
                <c:pt idx="4">
                  <c:v>2736.9</c:v>
                </c:pt>
                <c:pt idx="5">
                  <c:v>2702.9999999999995</c:v>
                </c:pt>
                <c:pt idx="6">
                  <c:v>2256.0999999999995</c:v>
                </c:pt>
                <c:pt idx="7">
                  <c:v>2180.2000000000003</c:v>
                </c:pt>
                <c:pt idx="8">
                  <c:v>2145.7000000000003</c:v>
                </c:pt>
                <c:pt idx="9">
                  <c:v>2131.8999999999996</c:v>
                </c:pt>
              </c:numCache>
            </c:numRef>
          </c:val>
          <c:extLst>
            <c:ext xmlns:c16="http://schemas.microsoft.com/office/drawing/2014/chart" uri="{C3380CC4-5D6E-409C-BE32-E72D297353CC}">
              <c16:uniqueId val="{00000000-38EC-4816-9535-4757FB199C1C}"/>
            </c:ext>
          </c:extLst>
        </c:ser>
        <c:dLbls>
          <c:dLblPos val="outEnd"/>
          <c:showLegendKey val="0"/>
          <c:showVal val="1"/>
          <c:showCatName val="0"/>
          <c:showSerName val="0"/>
          <c:showPercent val="0"/>
          <c:showBubbleSize val="0"/>
        </c:dLbls>
        <c:gapWidth val="219"/>
        <c:overlap val="-27"/>
        <c:axId val="1223481167"/>
        <c:axId val="1223479247"/>
      </c:barChart>
      <c:catAx>
        <c:axId val="122348116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City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79247"/>
        <c:crosses val="autoZero"/>
        <c:auto val="1"/>
        <c:lblAlgn val="ctr"/>
        <c:lblOffset val="100"/>
        <c:noMultiLvlLbl val="0"/>
      </c:catAx>
      <c:valAx>
        <c:axId val="122347924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Energy (kWh)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8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[EV_Charging_Station.xlsx]Sheet8!PivotTable3</c:name>
    <c:fmtId val="6"/>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r>
              <a:rPr lang="en-US" b="1">
                <a:solidFill>
                  <a:schemeClr val="accent4">
                    <a:lumMod val="75000"/>
                  </a:schemeClr>
                </a:solidFill>
              </a:rPr>
              <a:t>Peak</a:t>
            </a:r>
            <a:r>
              <a:rPr lang="en-US" b="1" baseline="0">
                <a:solidFill>
                  <a:schemeClr val="accent4">
                    <a:lumMod val="75000"/>
                  </a:schemeClr>
                </a:solidFill>
              </a:rPr>
              <a:t> Charging Hours</a:t>
            </a:r>
            <a:endParaRPr lang="en-US" b="1">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38100">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5"/>
              </a:solidFill>
              <a:round/>
            </a:ln>
            <a:effectLst/>
          </c:spPr>
          <c:marker>
            <c:symbol val="circle"/>
            <c:size val="5"/>
            <c:spPr>
              <a:solidFill>
                <a:schemeClr val="accent5"/>
              </a:solidFill>
              <a:ln w="38100">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Sheet8!$A$4:$A$19</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Sheet8!$B$4:$B$19</c:f>
              <c:numCache>
                <c:formatCode>General</c:formatCode>
                <c:ptCount val="15"/>
                <c:pt idx="0">
                  <c:v>41</c:v>
                </c:pt>
                <c:pt idx="1">
                  <c:v>39</c:v>
                </c:pt>
                <c:pt idx="2">
                  <c:v>37</c:v>
                </c:pt>
                <c:pt idx="3">
                  <c:v>24</c:v>
                </c:pt>
                <c:pt idx="4">
                  <c:v>33</c:v>
                </c:pt>
                <c:pt idx="5">
                  <c:v>34</c:v>
                </c:pt>
                <c:pt idx="6">
                  <c:v>26</c:v>
                </c:pt>
                <c:pt idx="7">
                  <c:v>30</c:v>
                </c:pt>
                <c:pt idx="8">
                  <c:v>37</c:v>
                </c:pt>
                <c:pt idx="9">
                  <c:v>35</c:v>
                </c:pt>
                <c:pt idx="10">
                  <c:v>35</c:v>
                </c:pt>
                <c:pt idx="11">
                  <c:v>35</c:v>
                </c:pt>
                <c:pt idx="12">
                  <c:v>39</c:v>
                </c:pt>
                <c:pt idx="13">
                  <c:v>34</c:v>
                </c:pt>
                <c:pt idx="14">
                  <c:v>21</c:v>
                </c:pt>
              </c:numCache>
            </c:numRef>
          </c:val>
          <c:smooth val="0"/>
          <c:extLst>
            <c:ext xmlns:c16="http://schemas.microsoft.com/office/drawing/2014/chart" uri="{C3380CC4-5D6E-409C-BE32-E72D297353CC}">
              <c16:uniqueId val="{00000000-08CB-4A4B-9EC8-7E4373C71EE9}"/>
            </c:ext>
          </c:extLst>
        </c:ser>
        <c:dLbls>
          <c:dLblPos val="t"/>
          <c:showLegendKey val="0"/>
          <c:showVal val="1"/>
          <c:showCatName val="0"/>
          <c:showSerName val="0"/>
          <c:showPercent val="0"/>
          <c:showBubbleSize val="0"/>
        </c:dLbls>
        <c:marker val="1"/>
        <c:smooth val="0"/>
        <c:axId val="1223480687"/>
        <c:axId val="1223481647"/>
      </c:lineChart>
      <c:catAx>
        <c:axId val="122348068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Hour</a:t>
                </a:r>
                <a:r>
                  <a:rPr lang="en-IN" b="1" baseline="0">
                    <a:solidFill>
                      <a:schemeClr val="tx1"/>
                    </a:solidFill>
                  </a:rPr>
                  <a:t> of the Day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81647"/>
        <c:crosses val="autoZero"/>
        <c:auto val="1"/>
        <c:lblAlgn val="ctr"/>
        <c:lblOffset val="100"/>
        <c:noMultiLvlLbl val="0"/>
      </c:catAx>
      <c:valAx>
        <c:axId val="1223481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Charging</a:t>
                </a:r>
                <a:r>
                  <a:rPr lang="en-IN" b="1" baseline="0">
                    <a:solidFill>
                      <a:schemeClr val="tx1"/>
                    </a:solidFill>
                  </a:rPr>
                  <a:t> Sessions</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8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274320</xdr:colOff>
      <xdr:row>5</xdr:row>
      <xdr:rowOff>26670</xdr:rowOff>
    </xdr:from>
    <xdr:to>
      <xdr:col>11</xdr:col>
      <xdr:colOff>579120</xdr:colOff>
      <xdr:row>20</xdr:row>
      <xdr:rowOff>26670</xdr:rowOff>
    </xdr:to>
    <xdr:graphicFrame macro="">
      <xdr:nvGraphicFramePr>
        <xdr:cNvPr id="2" name="Chart 1">
          <a:extLst>
            <a:ext uri="{FF2B5EF4-FFF2-40B4-BE49-F238E27FC236}">
              <a16:creationId xmlns:a16="http://schemas.microsoft.com/office/drawing/2014/main" id="{9D56E9B8-1E60-D4D1-23DF-CB6CEBDF2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487680</xdr:colOff>
      <xdr:row>5</xdr:row>
      <xdr:rowOff>34290</xdr:rowOff>
    </xdr:from>
    <xdr:to>
      <xdr:col>11</xdr:col>
      <xdr:colOff>182880</xdr:colOff>
      <xdr:row>20</xdr:row>
      <xdr:rowOff>34290</xdr:rowOff>
    </xdr:to>
    <xdr:graphicFrame macro="">
      <xdr:nvGraphicFramePr>
        <xdr:cNvPr id="2" name="Chart 1">
          <a:extLst>
            <a:ext uri="{FF2B5EF4-FFF2-40B4-BE49-F238E27FC236}">
              <a16:creationId xmlns:a16="http://schemas.microsoft.com/office/drawing/2014/main" id="{C6FA0622-7326-069D-4191-214CA60C1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5</xdr:row>
      <xdr:rowOff>26670</xdr:rowOff>
    </xdr:from>
    <xdr:to>
      <xdr:col>10</xdr:col>
      <xdr:colOff>396240</xdr:colOff>
      <xdr:row>20</xdr:row>
      <xdr:rowOff>26670</xdr:rowOff>
    </xdr:to>
    <xdr:graphicFrame macro="">
      <xdr:nvGraphicFramePr>
        <xdr:cNvPr id="2" name="Chart 1">
          <a:extLst>
            <a:ext uri="{FF2B5EF4-FFF2-40B4-BE49-F238E27FC236}">
              <a16:creationId xmlns:a16="http://schemas.microsoft.com/office/drawing/2014/main" id="{92E06EAB-D846-91F0-EFFF-6B33427DE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68580</xdr:colOff>
      <xdr:row>5</xdr:row>
      <xdr:rowOff>102870</xdr:rowOff>
    </xdr:from>
    <xdr:to>
      <xdr:col>10</xdr:col>
      <xdr:colOff>373380</xdr:colOff>
      <xdr:row>20</xdr:row>
      <xdr:rowOff>102870</xdr:rowOff>
    </xdr:to>
    <xdr:graphicFrame macro="">
      <xdr:nvGraphicFramePr>
        <xdr:cNvPr id="2" name="Chart 1">
          <a:extLst>
            <a:ext uri="{FF2B5EF4-FFF2-40B4-BE49-F238E27FC236}">
              <a16:creationId xmlns:a16="http://schemas.microsoft.com/office/drawing/2014/main" id="{93189040-E216-CDE1-48B8-2A34C76B8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510540</xdr:colOff>
      <xdr:row>5</xdr:row>
      <xdr:rowOff>125730</xdr:rowOff>
    </xdr:from>
    <xdr:to>
      <xdr:col>10</xdr:col>
      <xdr:colOff>205740</xdr:colOff>
      <xdr:row>20</xdr:row>
      <xdr:rowOff>125730</xdr:rowOff>
    </xdr:to>
    <xdr:graphicFrame macro="">
      <xdr:nvGraphicFramePr>
        <xdr:cNvPr id="2" name="Chart 1">
          <a:extLst>
            <a:ext uri="{FF2B5EF4-FFF2-40B4-BE49-F238E27FC236}">
              <a16:creationId xmlns:a16="http://schemas.microsoft.com/office/drawing/2014/main" id="{DC1A56DE-A226-4238-7728-5796B5327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62628</xdr:colOff>
      <xdr:row>9</xdr:row>
      <xdr:rowOff>10438</xdr:rowOff>
    </xdr:from>
    <xdr:to>
      <xdr:col>8</xdr:col>
      <xdr:colOff>396656</xdr:colOff>
      <xdr:row>24</xdr:row>
      <xdr:rowOff>0</xdr:rowOff>
    </xdr:to>
    <xdr:graphicFrame macro="">
      <xdr:nvGraphicFramePr>
        <xdr:cNvPr id="5" name="Chart 4">
          <a:extLst>
            <a:ext uri="{FF2B5EF4-FFF2-40B4-BE49-F238E27FC236}">
              <a16:creationId xmlns:a16="http://schemas.microsoft.com/office/drawing/2014/main" id="{87F89D8B-32FD-4BB6-A310-0E9DD671E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483811</xdr:colOff>
      <xdr:row>9</xdr:row>
      <xdr:rowOff>10438</xdr:rowOff>
    </xdr:from>
    <xdr:to>
      <xdr:col>15</xdr:col>
      <xdr:colOff>160222</xdr:colOff>
      <xdr:row>24</xdr:row>
      <xdr:rowOff>0</xdr:rowOff>
    </xdr:to>
    <xdr:graphicFrame macro="">
      <xdr:nvGraphicFramePr>
        <xdr:cNvPr id="6" name="Chart 5">
          <a:extLst>
            <a:ext uri="{FF2B5EF4-FFF2-40B4-BE49-F238E27FC236}">
              <a16:creationId xmlns:a16="http://schemas.microsoft.com/office/drawing/2014/main" id="{A831E139-8E22-4467-A6E0-87CF189D6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241473</xdr:colOff>
      <xdr:row>9</xdr:row>
      <xdr:rowOff>0</xdr:rowOff>
    </xdr:from>
    <xdr:to>
      <xdr:col>21</xdr:col>
      <xdr:colOff>471117</xdr:colOff>
      <xdr:row>24</xdr:row>
      <xdr:rowOff>8001</xdr:rowOff>
    </xdr:to>
    <xdr:graphicFrame macro="">
      <xdr:nvGraphicFramePr>
        <xdr:cNvPr id="7" name="Chart 6">
          <a:extLst>
            <a:ext uri="{FF2B5EF4-FFF2-40B4-BE49-F238E27FC236}">
              <a16:creationId xmlns:a16="http://schemas.microsoft.com/office/drawing/2014/main" id="{E92DCC07-97A4-4656-AE9B-B0899DA67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114818</xdr:colOff>
      <xdr:row>25</xdr:row>
      <xdr:rowOff>0</xdr:rowOff>
    </xdr:from>
    <xdr:to>
      <xdr:col>11</xdr:col>
      <xdr:colOff>448846</xdr:colOff>
      <xdr:row>40</xdr:row>
      <xdr:rowOff>0</xdr:rowOff>
    </xdr:to>
    <xdr:graphicFrame macro="">
      <xdr:nvGraphicFramePr>
        <xdr:cNvPr id="8" name="Chart 7">
          <a:extLst>
            <a:ext uri="{FF2B5EF4-FFF2-40B4-BE49-F238E27FC236}">
              <a16:creationId xmlns:a16="http://schemas.microsoft.com/office/drawing/2014/main" id="{072D0378-24E0-47CF-A341-E483F32E6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8175</xdr:colOff>
      <xdr:row>25</xdr:row>
      <xdr:rowOff>0</xdr:rowOff>
    </xdr:from>
    <xdr:to>
      <xdr:col>21</xdr:col>
      <xdr:colOff>488341</xdr:colOff>
      <xdr:row>40</xdr:row>
      <xdr:rowOff>0</xdr:rowOff>
    </xdr:to>
    <xdr:graphicFrame macro="">
      <xdr:nvGraphicFramePr>
        <xdr:cNvPr id="9" name="Chart 8">
          <a:extLst>
            <a:ext uri="{FF2B5EF4-FFF2-40B4-BE49-F238E27FC236}">
              <a16:creationId xmlns:a16="http://schemas.microsoft.com/office/drawing/2014/main" id="{029167FB-04A1-4568-89C4-9259A6DBB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171345</xdr:colOff>
      <xdr:row>31</xdr:row>
      <xdr:rowOff>18334</xdr:rowOff>
    </xdr:from>
    <xdr:to>
      <xdr:col>25</xdr:col>
      <xdr:colOff>385193</xdr:colOff>
      <xdr:row>38</xdr:row>
      <xdr:rowOff>10864</xdr:rowOff>
    </xdr:to>
    <mc:AlternateContent xmlns:mc="http://schemas.openxmlformats.org/markup-compatibility/2006">
      <mc:Choice xmlns:a14="http://schemas.microsoft.com/office/drawing/2010/main" Requires="a14">
        <xdr:graphicFrame macro="">
          <xdr:nvGraphicFramePr>
            <xdr:cNvPr id="13" name="Payment_Method 1">
              <a:extLst>
                <a:ext uri="{FF2B5EF4-FFF2-40B4-BE49-F238E27FC236}">
                  <a16:creationId xmlns:a16="http://schemas.microsoft.com/office/drawing/2014/main" id="{AC32D253-5137-422E-9B38-567BF0507F73}"/>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3690700" y="5733334"/>
              <a:ext cx="2057396" cy="1283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159294</xdr:colOff>
      <xdr:row>21</xdr:row>
      <xdr:rowOff>183783</xdr:rowOff>
    </xdr:from>
    <xdr:to>
      <xdr:col>25</xdr:col>
      <xdr:colOff>374656</xdr:colOff>
      <xdr:row>29</xdr:row>
      <xdr:rowOff>175028</xdr:rowOff>
    </xdr:to>
    <mc:AlternateContent xmlns:mc="http://schemas.openxmlformats.org/markup-compatibility/2006">
      <mc:Choice xmlns:a14="http://schemas.microsoft.com/office/drawing/2010/main" Requires="a14">
        <xdr:graphicFrame macro="">
          <xdr:nvGraphicFramePr>
            <xdr:cNvPr id="14" name="Vehicle_Type 1">
              <a:extLst>
                <a:ext uri="{FF2B5EF4-FFF2-40B4-BE49-F238E27FC236}">
                  <a16:creationId xmlns:a16="http://schemas.microsoft.com/office/drawing/2014/main" id="{07704F7E-B578-456D-B662-92A1A0227F16}"/>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dr:sp macro="" textlink="">
          <xdr:nvSpPr>
            <xdr:cNvPr id="0" name=""/>
            <xdr:cNvSpPr>
              <a:spLocks noTextEdit="1"/>
            </xdr:cNvSpPr>
          </xdr:nvSpPr>
          <xdr:spPr>
            <a:xfrm>
              <a:off x="13678649" y="4055235"/>
              <a:ext cx="2058910" cy="1466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172064</xdr:colOff>
      <xdr:row>4</xdr:row>
      <xdr:rowOff>35169</xdr:rowOff>
    </xdr:from>
    <xdr:to>
      <xdr:col>25</xdr:col>
      <xdr:colOff>385122</xdr:colOff>
      <xdr:row>21</xdr:row>
      <xdr:rowOff>0</xdr:rowOff>
    </xdr:to>
    <mc:AlternateContent xmlns:mc="http://schemas.openxmlformats.org/markup-compatibility/2006">
      <mc:Choice xmlns:a14="http://schemas.microsoft.com/office/drawing/2010/main" Requires="a14">
        <xdr:graphicFrame macro="">
          <xdr:nvGraphicFramePr>
            <xdr:cNvPr id="15" name="City 1">
              <a:extLst>
                <a:ext uri="{FF2B5EF4-FFF2-40B4-BE49-F238E27FC236}">
                  <a16:creationId xmlns:a16="http://schemas.microsoft.com/office/drawing/2014/main" id="{9A797CE2-CF10-439F-A1FC-88972184EBB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3691419" y="772588"/>
              <a:ext cx="2056606" cy="3098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 refreshedDate="46230.542352777775" createdVersion="8" refreshedVersion="8" minRefreshableVersion="3" recordCount="500" xr:uid="{65AAEAE6-5BA2-4327-9B3F-1F4A3C3EE020}">
  <cacheSource type="worksheet">
    <worksheetSource name="Table2"/>
  </cacheSource>
  <cacheFields count="10">
    <cacheField name="Station_ID" numFmtId="0">
      <sharedItems/>
    </cacheField>
    <cacheField name="City" numFmtId="0">
      <sharedItems count="10">
        <s v="Kolkata"/>
        <s v="Pune"/>
        <s v="Hyderabad"/>
        <s v="Indore"/>
        <s v="Delhi"/>
        <s v="Jaipur"/>
        <s v="Chennai"/>
        <s v="Mumbai"/>
        <s v="Bhopal"/>
        <s v="Ahmedabad"/>
      </sharedItems>
    </cacheField>
    <cacheField name="Date" numFmtId="14">
      <sharedItems containsSemiMixedTypes="0" containsNonDate="0" containsDate="1" containsString="0" minDate="2025-10-15T00:00:00" maxDate="2025-10-16T00:00:00"/>
    </cacheField>
    <cacheField name="Vehicle_Type" numFmtId="0">
      <sharedItems count="4">
        <s v="Car"/>
        <s v="Bus"/>
        <s v="Truck"/>
        <s v="Bike"/>
      </sharedItems>
    </cacheField>
    <cacheField name="Charging_Start_Time" numFmtId="164">
      <sharedItems containsSemiMixedTypes="0" containsNonDate="0" containsDate="1" containsString="0" minDate="1899-12-30T06:00:00" maxDate="1899-12-30T20:59:00"/>
    </cacheField>
    <cacheField name="Charging_End_Time" numFmtId="165">
      <sharedItems containsSemiMixedTypes="0" containsNonDate="0" containsDate="1" containsString="0" minDate="1899-12-30T06:53:00" maxDate="1899-12-30T23:36:00"/>
    </cacheField>
    <cacheField name="Energy_Consumed_kWh" numFmtId="2">
      <sharedItems containsSemiMixedTypes="0" containsString="0" containsNumber="1" minValue="3.2" maxValue="99.9"/>
    </cacheField>
    <cacheField name="Cost_INR" numFmtId="166">
      <sharedItems containsSemiMixedTypes="0" containsString="0" containsNumber="1" containsInteger="1" minValue="32" maxValue="999"/>
    </cacheField>
    <cacheField name="Payment_Method" numFmtId="0">
      <sharedItems count="3">
        <s v="UPI"/>
        <s v="Cash"/>
        <s v="Card"/>
      </sharedItems>
    </cacheField>
    <cacheField name="Start_Hour" numFmtId="0">
      <sharedItems containsSemiMixedTypes="0" containsString="0" containsNumber="1" containsInteger="1" minValue="6" maxValue="20" count="15">
        <n v="12"/>
        <n v="15"/>
        <n v="11"/>
        <n v="10"/>
        <n v="8"/>
        <n v="6"/>
        <n v="9"/>
        <n v="17"/>
        <n v="20"/>
        <n v="18"/>
        <n v="14"/>
        <n v="7"/>
        <n v="16"/>
        <n v="19"/>
        <n v="13"/>
      </sharedItems>
    </cacheField>
  </cacheFields>
  <extLst>
    <ext xmlns:x14="http://schemas.microsoft.com/office/spreadsheetml/2009/9/main" uri="{725AE2AE-9491-48be-B2B4-4EB974FC3084}">
      <x14:pivotCacheDefinition pivotCacheId="1946499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T001"/>
    <x v="0"/>
    <d v="2025-10-15T00:00:00"/>
    <x v="0"/>
    <d v="1899-12-30T12:14:00"/>
    <d v="1899-12-30T13:57:00"/>
    <n v="96.2"/>
    <n v="962"/>
    <x v="0"/>
    <x v="0"/>
  </r>
  <r>
    <s v="ST002"/>
    <x v="1"/>
    <d v="2025-10-15T00:00:00"/>
    <x v="1"/>
    <d v="1899-12-30T15:27:00"/>
    <d v="1899-12-30T17:26:00"/>
    <n v="59.2"/>
    <n v="592"/>
    <x v="0"/>
    <x v="1"/>
  </r>
  <r>
    <s v="ST003"/>
    <x v="2"/>
    <d v="2025-10-15T00:00:00"/>
    <x v="0"/>
    <d v="1899-12-30T11:29:00"/>
    <d v="1899-12-30T12:08:00"/>
    <n v="59.8"/>
    <n v="598"/>
    <x v="1"/>
    <x v="2"/>
  </r>
  <r>
    <s v="ST004"/>
    <x v="3"/>
    <d v="2025-10-15T00:00:00"/>
    <x v="1"/>
    <d v="1899-12-30T10:12:00"/>
    <d v="1899-12-30T11:45:00"/>
    <n v="38.299999999999997"/>
    <n v="383"/>
    <x v="1"/>
    <x v="3"/>
  </r>
  <r>
    <s v="ST005"/>
    <x v="3"/>
    <d v="2025-10-15T00:00:00"/>
    <x v="0"/>
    <d v="1899-12-30T10:19:00"/>
    <d v="1899-12-30T11:03:00"/>
    <n v="48.9"/>
    <n v="489"/>
    <x v="2"/>
    <x v="3"/>
  </r>
  <r>
    <s v="ST006"/>
    <x v="2"/>
    <d v="2025-10-15T00:00:00"/>
    <x v="2"/>
    <d v="1899-12-30T08:21:00"/>
    <d v="1899-12-30T09:40:00"/>
    <n v="95.6"/>
    <n v="956"/>
    <x v="0"/>
    <x v="4"/>
  </r>
  <r>
    <s v="ST007"/>
    <x v="4"/>
    <d v="2025-10-15T00:00:00"/>
    <x v="2"/>
    <d v="1899-12-30T06:04:00"/>
    <d v="1899-12-30T08:44:00"/>
    <n v="77.900000000000006"/>
    <n v="779"/>
    <x v="2"/>
    <x v="5"/>
  </r>
  <r>
    <s v="ST008"/>
    <x v="3"/>
    <d v="2025-10-15T00:00:00"/>
    <x v="3"/>
    <d v="1899-12-30T09:48:00"/>
    <d v="1899-12-30T11:27:00"/>
    <n v="62.2"/>
    <n v="622"/>
    <x v="2"/>
    <x v="6"/>
  </r>
  <r>
    <s v="ST009"/>
    <x v="5"/>
    <d v="2025-10-15T00:00:00"/>
    <x v="0"/>
    <d v="1899-12-30T17:13:00"/>
    <d v="1899-12-30T19:04:00"/>
    <n v="29.3"/>
    <n v="293"/>
    <x v="0"/>
    <x v="7"/>
  </r>
  <r>
    <s v="ST010"/>
    <x v="1"/>
    <d v="2025-10-15T00:00:00"/>
    <x v="1"/>
    <d v="1899-12-30T20:38:00"/>
    <d v="1899-12-30T23:36:00"/>
    <n v="35.1"/>
    <n v="351"/>
    <x v="0"/>
    <x v="8"/>
  </r>
  <r>
    <s v="ST011"/>
    <x v="6"/>
    <d v="2025-10-15T00:00:00"/>
    <x v="2"/>
    <d v="1899-12-30T18:18:00"/>
    <d v="1899-12-30T18:54:00"/>
    <n v="3.2"/>
    <n v="32"/>
    <x v="0"/>
    <x v="9"/>
  </r>
  <r>
    <s v="ST012"/>
    <x v="0"/>
    <d v="2025-10-15T00:00:00"/>
    <x v="1"/>
    <d v="1899-12-30T14:05:00"/>
    <d v="1899-12-30T15:44:00"/>
    <n v="69.900000000000006"/>
    <n v="699"/>
    <x v="1"/>
    <x v="10"/>
  </r>
  <r>
    <s v="ST013"/>
    <x v="2"/>
    <d v="2025-10-15T00:00:00"/>
    <x v="0"/>
    <d v="1899-12-30T07:37:00"/>
    <d v="1899-12-30T10:10:00"/>
    <n v="85.8"/>
    <n v="858"/>
    <x v="2"/>
    <x v="11"/>
  </r>
  <r>
    <s v="ST014"/>
    <x v="7"/>
    <d v="2025-10-15T00:00:00"/>
    <x v="3"/>
    <d v="1899-12-30T07:57:00"/>
    <d v="1899-12-30T09:27:00"/>
    <n v="77.400000000000006"/>
    <n v="774"/>
    <x v="0"/>
    <x v="11"/>
  </r>
  <r>
    <s v="ST015"/>
    <x v="1"/>
    <d v="2025-10-15T00:00:00"/>
    <x v="1"/>
    <d v="1899-12-30T06:09:00"/>
    <d v="1899-12-30T07:20:00"/>
    <n v="58.3"/>
    <n v="583"/>
    <x v="0"/>
    <x v="5"/>
  </r>
  <r>
    <s v="ST016"/>
    <x v="8"/>
    <d v="2025-10-15T00:00:00"/>
    <x v="1"/>
    <d v="1899-12-30T16:05:00"/>
    <d v="1899-12-30T18:35:00"/>
    <n v="81.099999999999994"/>
    <n v="811"/>
    <x v="0"/>
    <x v="12"/>
  </r>
  <r>
    <s v="ST017"/>
    <x v="5"/>
    <d v="2025-10-15T00:00:00"/>
    <x v="0"/>
    <d v="1899-12-30T12:45:00"/>
    <d v="1899-12-30T15:29:00"/>
    <n v="55.9"/>
    <n v="559"/>
    <x v="0"/>
    <x v="0"/>
  </r>
  <r>
    <s v="ST018"/>
    <x v="6"/>
    <d v="2025-10-15T00:00:00"/>
    <x v="0"/>
    <d v="1899-12-30T11:49:00"/>
    <d v="1899-12-30T14:21:00"/>
    <n v="16.899999999999999"/>
    <n v="169"/>
    <x v="0"/>
    <x v="2"/>
  </r>
  <r>
    <s v="ST019"/>
    <x v="6"/>
    <d v="2025-10-15T00:00:00"/>
    <x v="1"/>
    <d v="1899-12-30T08:15:00"/>
    <d v="1899-12-30T10:58:00"/>
    <n v="40.799999999999997"/>
    <n v="408"/>
    <x v="1"/>
    <x v="4"/>
  </r>
  <r>
    <s v="ST020"/>
    <x v="0"/>
    <d v="2025-10-15T00:00:00"/>
    <x v="0"/>
    <d v="1899-12-30T12:56:00"/>
    <d v="1899-12-30T13:26:00"/>
    <n v="67.900000000000006"/>
    <n v="679"/>
    <x v="1"/>
    <x v="0"/>
  </r>
  <r>
    <s v="ST021"/>
    <x v="0"/>
    <d v="2025-10-15T00:00:00"/>
    <x v="1"/>
    <d v="1899-12-30T17:25:00"/>
    <d v="1899-12-30T19:46:00"/>
    <n v="32.4"/>
    <n v="324"/>
    <x v="1"/>
    <x v="7"/>
  </r>
  <r>
    <s v="ST022"/>
    <x v="3"/>
    <d v="2025-10-15T00:00:00"/>
    <x v="1"/>
    <d v="1899-12-30T19:49:00"/>
    <d v="1899-12-30T21:00:00"/>
    <n v="27.5"/>
    <n v="275"/>
    <x v="0"/>
    <x v="13"/>
  </r>
  <r>
    <s v="ST023"/>
    <x v="7"/>
    <d v="2025-10-15T00:00:00"/>
    <x v="2"/>
    <d v="1899-12-30T15:43:00"/>
    <d v="1899-12-30T17:25:00"/>
    <n v="80.8"/>
    <n v="808"/>
    <x v="2"/>
    <x v="1"/>
  </r>
  <r>
    <s v="ST024"/>
    <x v="5"/>
    <d v="2025-10-15T00:00:00"/>
    <x v="1"/>
    <d v="1899-12-30T10:10:00"/>
    <d v="1899-12-30T11:55:00"/>
    <n v="49.5"/>
    <n v="495"/>
    <x v="2"/>
    <x v="3"/>
  </r>
  <r>
    <s v="ST025"/>
    <x v="1"/>
    <d v="2025-10-15T00:00:00"/>
    <x v="1"/>
    <d v="1899-12-30T08:33:00"/>
    <d v="1899-12-30T10:45:00"/>
    <n v="98.4"/>
    <n v="984"/>
    <x v="2"/>
    <x v="4"/>
  </r>
  <r>
    <s v="ST026"/>
    <x v="6"/>
    <d v="2025-10-15T00:00:00"/>
    <x v="0"/>
    <d v="1899-12-30T12:41:00"/>
    <d v="1899-12-30T13:35:00"/>
    <n v="99.8"/>
    <n v="998"/>
    <x v="2"/>
    <x v="0"/>
  </r>
  <r>
    <s v="ST027"/>
    <x v="9"/>
    <d v="2025-10-15T00:00:00"/>
    <x v="0"/>
    <d v="1899-12-30T06:10:00"/>
    <d v="1899-12-30T08:27:00"/>
    <n v="76.900000000000006"/>
    <n v="769"/>
    <x v="1"/>
    <x v="5"/>
  </r>
  <r>
    <s v="ST028"/>
    <x v="2"/>
    <d v="2025-10-15T00:00:00"/>
    <x v="3"/>
    <d v="1899-12-30T19:17:00"/>
    <d v="1899-12-30T22:11:00"/>
    <n v="89"/>
    <n v="890"/>
    <x v="0"/>
    <x v="13"/>
  </r>
  <r>
    <s v="ST029"/>
    <x v="8"/>
    <d v="2025-10-15T00:00:00"/>
    <x v="3"/>
    <d v="1899-12-30T19:49:00"/>
    <d v="1899-12-30T20:42:00"/>
    <n v="86.4"/>
    <n v="864"/>
    <x v="1"/>
    <x v="13"/>
  </r>
  <r>
    <s v="ST030"/>
    <x v="4"/>
    <d v="2025-10-15T00:00:00"/>
    <x v="3"/>
    <d v="1899-12-30T16:05:00"/>
    <d v="1899-12-30T16:56:00"/>
    <n v="64.900000000000006"/>
    <n v="649"/>
    <x v="0"/>
    <x v="12"/>
  </r>
  <r>
    <s v="ST031"/>
    <x v="4"/>
    <d v="2025-10-15T00:00:00"/>
    <x v="2"/>
    <d v="1899-12-30T07:50:00"/>
    <d v="1899-12-30T10:24:00"/>
    <n v="87.3"/>
    <n v="873"/>
    <x v="1"/>
    <x v="11"/>
  </r>
  <r>
    <s v="ST032"/>
    <x v="9"/>
    <d v="2025-10-15T00:00:00"/>
    <x v="3"/>
    <d v="1899-12-30T11:43:00"/>
    <d v="1899-12-30T13:27:00"/>
    <n v="43.3"/>
    <n v="433"/>
    <x v="2"/>
    <x v="2"/>
  </r>
  <r>
    <s v="ST033"/>
    <x v="9"/>
    <d v="2025-10-15T00:00:00"/>
    <x v="3"/>
    <d v="1899-12-30T08:04:00"/>
    <d v="1899-12-30T10:35:00"/>
    <n v="23.8"/>
    <n v="238"/>
    <x v="1"/>
    <x v="4"/>
  </r>
  <r>
    <s v="ST034"/>
    <x v="0"/>
    <d v="2025-10-15T00:00:00"/>
    <x v="3"/>
    <d v="1899-12-30T18:40:00"/>
    <d v="1899-12-30T21:34:00"/>
    <n v="21.9"/>
    <n v="219"/>
    <x v="0"/>
    <x v="9"/>
  </r>
  <r>
    <s v="ST035"/>
    <x v="0"/>
    <d v="2025-10-15T00:00:00"/>
    <x v="1"/>
    <d v="1899-12-30T07:17:00"/>
    <d v="1899-12-30T09:56:00"/>
    <n v="47.9"/>
    <n v="479"/>
    <x v="2"/>
    <x v="11"/>
  </r>
  <r>
    <s v="ST036"/>
    <x v="5"/>
    <d v="2025-10-15T00:00:00"/>
    <x v="0"/>
    <d v="1899-12-30T20:09:00"/>
    <d v="1899-12-30T22:35:00"/>
    <n v="56.9"/>
    <n v="569"/>
    <x v="1"/>
    <x v="8"/>
  </r>
  <r>
    <s v="ST037"/>
    <x v="6"/>
    <d v="2025-10-15T00:00:00"/>
    <x v="3"/>
    <d v="1899-12-30T08:14:00"/>
    <d v="1899-12-30T09:17:00"/>
    <n v="50.9"/>
    <n v="509"/>
    <x v="2"/>
    <x v="4"/>
  </r>
  <r>
    <s v="ST038"/>
    <x v="7"/>
    <d v="2025-10-15T00:00:00"/>
    <x v="3"/>
    <d v="1899-12-30T12:02:00"/>
    <d v="1899-12-30T13:46:00"/>
    <n v="46.3"/>
    <n v="463"/>
    <x v="0"/>
    <x v="0"/>
  </r>
  <r>
    <s v="ST039"/>
    <x v="7"/>
    <d v="2025-10-15T00:00:00"/>
    <x v="3"/>
    <d v="1899-12-30T08:14:00"/>
    <d v="1899-12-30T08:49:00"/>
    <n v="14.9"/>
    <n v="149"/>
    <x v="2"/>
    <x v="4"/>
  </r>
  <r>
    <s v="ST040"/>
    <x v="7"/>
    <d v="2025-10-15T00:00:00"/>
    <x v="1"/>
    <d v="1899-12-30T07:11:00"/>
    <d v="1899-12-30T08:41:00"/>
    <n v="24.4"/>
    <n v="244"/>
    <x v="0"/>
    <x v="11"/>
  </r>
  <r>
    <s v="ST041"/>
    <x v="3"/>
    <d v="2025-10-15T00:00:00"/>
    <x v="1"/>
    <d v="1899-12-30T08:10:00"/>
    <d v="1899-12-30T10:50:00"/>
    <n v="45.7"/>
    <n v="457"/>
    <x v="1"/>
    <x v="4"/>
  </r>
  <r>
    <s v="ST042"/>
    <x v="2"/>
    <d v="2025-10-15T00:00:00"/>
    <x v="0"/>
    <d v="1899-12-30T15:33:00"/>
    <d v="1899-12-30T18:04:00"/>
    <n v="14"/>
    <n v="140"/>
    <x v="2"/>
    <x v="1"/>
  </r>
  <r>
    <s v="ST043"/>
    <x v="5"/>
    <d v="2025-10-15T00:00:00"/>
    <x v="3"/>
    <d v="1899-12-30T09:27:00"/>
    <d v="1899-12-30T10:08:00"/>
    <n v="93.4"/>
    <n v="934"/>
    <x v="2"/>
    <x v="6"/>
  </r>
  <r>
    <s v="ST044"/>
    <x v="5"/>
    <d v="2025-10-15T00:00:00"/>
    <x v="2"/>
    <d v="1899-12-30T07:04:00"/>
    <d v="1899-12-30T07:41:00"/>
    <n v="18"/>
    <n v="180"/>
    <x v="2"/>
    <x v="11"/>
  </r>
  <r>
    <s v="ST045"/>
    <x v="9"/>
    <d v="2025-10-15T00:00:00"/>
    <x v="0"/>
    <d v="1899-12-30T19:35:00"/>
    <d v="1899-12-30T22:01:00"/>
    <n v="26"/>
    <n v="260"/>
    <x v="2"/>
    <x v="13"/>
  </r>
  <r>
    <s v="ST046"/>
    <x v="4"/>
    <d v="2025-10-15T00:00:00"/>
    <x v="1"/>
    <d v="1899-12-30T14:43:00"/>
    <d v="1899-12-30T15:38:00"/>
    <n v="23"/>
    <n v="230"/>
    <x v="2"/>
    <x v="10"/>
  </r>
  <r>
    <s v="ST047"/>
    <x v="1"/>
    <d v="2025-10-15T00:00:00"/>
    <x v="2"/>
    <d v="1899-12-30T14:14:00"/>
    <d v="1899-12-30T16:08:00"/>
    <n v="92.4"/>
    <n v="924"/>
    <x v="2"/>
    <x v="10"/>
  </r>
  <r>
    <s v="ST048"/>
    <x v="3"/>
    <d v="2025-10-15T00:00:00"/>
    <x v="2"/>
    <d v="1899-12-30T17:05:00"/>
    <d v="1899-12-30T18:59:00"/>
    <n v="55.3"/>
    <n v="553"/>
    <x v="1"/>
    <x v="7"/>
  </r>
  <r>
    <s v="ST049"/>
    <x v="8"/>
    <d v="2025-10-15T00:00:00"/>
    <x v="2"/>
    <d v="1899-12-30T19:56:00"/>
    <d v="1899-12-30T21:24:00"/>
    <n v="88.4"/>
    <n v="884"/>
    <x v="1"/>
    <x v="13"/>
  </r>
  <r>
    <s v="ST050"/>
    <x v="0"/>
    <d v="2025-10-15T00:00:00"/>
    <x v="2"/>
    <d v="1899-12-30T18:52:00"/>
    <d v="1899-12-30T19:23:00"/>
    <n v="76.2"/>
    <n v="762"/>
    <x v="0"/>
    <x v="9"/>
  </r>
  <r>
    <s v="ST051"/>
    <x v="0"/>
    <d v="2025-10-15T00:00:00"/>
    <x v="1"/>
    <d v="1899-12-30T18:46:00"/>
    <d v="1899-12-30T20:07:00"/>
    <n v="12"/>
    <n v="120"/>
    <x v="2"/>
    <x v="9"/>
  </r>
  <r>
    <s v="ST052"/>
    <x v="2"/>
    <d v="2025-10-15T00:00:00"/>
    <x v="2"/>
    <d v="1899-12-30T06:44:00"/>
    <d v="1899-12-30T08:49:00"/>
    <n v="27.3"/>
    <n v="273"/>
    <x v="1"/>
    <x v="5"/>
  </r>
  <r>
    <s v="ST053"/>
    <x v="2"/>
    <d v="2025-10-15T00:00:00"/>
    <x v="0"/>
    <d v="1899-12-30T14:45:00"/>
    <d v="1899-12-30T16:08:00"/>
    <n v="35.6"/>
    <n v="356"/>
    <x v="0"/>
    <x v="10"/>
  </r>
  <r>
    <s v="ST054"/>
    <x v="5"/>
    <d v="2025-10-15T00:00:00"/>
    <x v="0"/>
    <d v="1899-12-30T15:07:00"/>
    <d v="1899-12-30T16:26:00"/>
    <n v="8.3000000000000007"/>
    <n v="83"/>
    <x v="2"/>
    <x v="1"/>
  </r>
  <r>
    <s v="ST055"/>
    <x v="0"/>
    <d v="2025-10-15T00:00:00"/>
    <x v="2"/>
    <d v="1899-12-30T13:10:00"/>
    <d v="1899-12-30T13:54:00"/>
    <n v="74.7"/>
    <n v="747"/>
    <x v="1"/>
    <x v="14"/>
  </r>
  <r>
    <s v="ST056"/>
    <x v="8"/>
    <d v="2025-10-15T00:00:00"/>
    <x v="0"/>
    <d v="1899-12-30T15:23:00"/>
    <d v="1899-12-30T17:51:00"/>
    <n v="29"/>
    <n v="290"/>
    <x v="0"/>
    <x v="1"/>
  </r>
  <r>
    <s v="ST057"/>
    <x v="9"/>
    <d v="2025-10-15T00:00:00"/>
    <x v="0"/>
    <d v="1899-12-30T18:21:00"/>
    <d v="1899-12-30T18:57:00"/>
    <n v="77.400000000000006"/>
    <n v="774"/>
    <x v="1"/>
    <x v="9"/>
  </r>
  <r>
    <s v="ST058"/>
    <x v="1"/>
    <d v="2025-10-15T00:00:00"/>
    <x v="1"/>
    <d v="1899-12-30T06:50:00"/>
    <d v="1899-12-30T09:45:00"/>
    <n v="86.4"/>
    <n v="864"/>
    <x v="0"/>
    <x v="5"/>
  </r>
  <r>
    <s v="ST059"/>
    <x v="8"/>
    <d v="2025-10-15T00:00:00"/>
    <x v="0"/>
    <d v="1899-12-30T15:58:00"/>
    <d v="1899-12-30T17:48:00"/>
    <n v="73.7"/>
    <n v="737"/>
    <x v="2"/>
    <x v="1"/>
  </r>
  <r>
    <s v="ST060"/>
    <x v="3"/>
    <d v="2025-10-15T00:00:00"/>
    <x v="1"/>
    <d v="1899-12-30T06:12:00"/>
    <d v="1899-12-30T06:54:00"/>
    <n v="71.5"/>
    <n v="715"/>
    <x v="1"/>
    <x v="5"/>
  </r>
  <r>
    <s v="ST061"/>
    <x v="1"/>
    <d v="2025-10-15T00:00:00"/>
    <x v="3"/>
    <d v="1899-12-30T08:03:00"/>
    <d v="1899-12-30T10:11:00"/>
    <n v="34.1"/>
    <n v="341"/>
    <x v="2"/>
    <x v="4"/>
  </r>
  <r>
    <s v="ST062"/>
    <x v="2"/>
    <d v="2025-10-15T00:00:00"/>
    <x v="0"/>
    <d v="1899-12-30T19:15:00"/>
    <d v="1899-12-30T21:10:00"/>
    <n v="83.5"/>
    <n v="835"/>
    <x v="2"/>
    <x v="13"/>
  </r>
  <r>
    <s v="ST063"/>
    <x v="5"/>
    <d v="2025-10-15T00:00:00"/>
    <x v="0"/>
    <d v="1899-12-30T11:09:00"/>
    <d v="1899-12-30T13:49:00"/>
    <n v="70.400000000000006"/>
    <n v="704"/>
    <x v="2"/>
    <x v="2"/>
  </r>
  <r>
    <s v="ST064"/>
    <x v="6"/>
    <d v="2025-10-15T00:00:00"/>
    <x v="2"/>
    <d v="1899-12-30T06:06:00"/>
    <d v="1899-12-30T07:28:00"/>
    <n v="17.100000000000001"/>
    <n v="171"/>
    <x v="0"/>
    <x v="5"/>
  </r>
  <r>
    <s v="ST065"/>
    <x v="5"/>
    <d v="2025-10-15T00:00:00"/>
    <x v="1"/>
    <d v="1899-12-30T20:23:00"/>
    <d v="1899-12-30T23:20:00"/>
    <n v="56.8"/>
    <n v="568"/>
    <x v="0"/>
    <x v="8"/>
  </r>
  <r>
    <s v="ST066"/>
    <x v="2"/>
    <d v="2025-10-15T00:00:00"/>
    <x v="1"/>
    <d v="1899-12-30T16:25:00"/>
    <d v="1899-12-30T19:03:00"/>
    <n v="88.4"/>
    <n v="884"/>
    <x v="2"/>
    <x v="12"/>
  </r>
  <r>
    <s v="ST067"/>
    <x v="3"/>
    <d v="2025-10-15T00:00:00"/>
    <x v="0"/>
    <d v="1899-12-30T11:24:00"/>
    <d v="1899-12-30T13:14:00"/>
    <n v="40.9"/>
    <n v="409"/>
    <x v="1"/>
    <x v="2"/>
  </r>
  <r>
    <s v="ST068"/>
    <x v="8"/>
    <d v="2025-10-15T00:00:00"/>
    <x v="0"/>
    <d v="1899-12-30T13:07:00"/>
    <d v="1899-12-30T15:45:00"/>
    <n v="59.4"/>
    <n v="594"/>
    <x v="0"/>
    <x v="14"/>
  </r>
  <r>
    <s v="ST069"/>
    <x v="0"/>
    <d v="2025-10-15T00:00:00"/>
    <x v="2"/>
    <d v="1899-12-30T06:00:00"/>
    <d v="1899-12-30T08:35:00"/>
    <n v="66.2"/>
    <n v="662"/>
    <x v="1"/>
    <x v="5"/>
  </r>
  <r>
    <s v="ST070"/>
    <x v="8"/>
    <d v="2025-10-15T00:00:00"/>
    <x v="3"/>
    <d v="1899-12-30T16:32:00"/>
    <d v="1899-12-30T18:28:00"/>
    <n v="53.2"/>
    <n v="532"/>
    <x v="1"/>
    <x v="12"/>
  </r>
  <r>
    <s v="ST071"/>
    <x v="2"/>
    <d v="2025-10-15T00:00:00"/>
    <x v="3"/>
    <d v="1899-12-30T12:25:00"/>
    <d v="1899-12-30T14:24:00"/>
    <n v="73.5"/>
    <n v="735"/>
    <x v="1"/>
    <x v="0"/>
  </r>
  <r>
    <s v="ST072"/>
    <x v="9"/>
    <d v="2025-10-15T00:00:00"/>
    <x v="1"/>
    <d v="1899-12-30T13:32:00"/>
    <d v="1899-12-30T14:52:00"/>
    <n v="50.5"/>
    <n v="505"/>
    <x v="1"/>
    <x v="14"/>
  </r>
  <r>
    <s v="ST073"/>
    <x v="4"/>
    <d v="2025-10-15T00:00:00"/>
    <x v="0"/>
    <d v="1899-12-30T16:54:00"/>
    <d v="1899-12-30T18:22:00"/>
    <n v="42.5"/>
    <n v="425"/>
    <x v="2"/>
    <x v="12"/>
  </r>
  <r>
    <s v="ST074"/>
    <x v="5"/>
    <d v="2025-10-15T00:00:00"/>
    <x v="1"/>
    <d v="1899-12-30T11:26:00"/>
    <d v="1899-12-30T13:22:00"/>
    <n v="56.3"/>
    <n v="563"/>
    <x v="1"/>
    <x v="2"/>
  </r>
  <r>
    <s v="ST075"/>
    <x v="0"/>
    <d v="2025-10-15T00:00:00"/>
    <x v="1"/>
    <d v="1899-12-30T20:46:00"/>
    <d v="1899-12-30T21:35:00"/>
    <n v="29.6"/>
    <n v="296"/>
    <x v="0"/>
    <x v="8"/>
  </r>
  <r>
    <s v="ST076"/>
    <x v="9"/>
    <d v="2025-10-15T00:00:00"/>
    <x v="3"/>
    <d v="1899-12-30T15:14:00"/>
    <d v="1899-12-30T17:54:00"/>
    <n v="64.5"/>
    <n v="645"/>
    <x v="0"/>
    <x v="1"/>
  </r>
  <r>
    <s v="ST077"/>
    <x v="7"/>
    <d v="2025-10-15T00:00:00"/>
    <x v="0"/>
    <d v="1899-12-30T16:32:00"/>
    <d v="1899-12-30T17:56:00"/>
    <n v="69.400000000000006"/>
    <n v="694"/>
    <x v="2"/>
    <x v="12"/>
  </r>
  <r>
    <s v="ST078"/>
    <x v="0"/>
    <d v="2025-10-15T00:00:00"/>
    <x v="2"/>
    <d v="1899-12-30T20:59:00"/>
    <d v="1899-12-30T22:24:00"/>
    <n v="13.5"/>
    <n v="135"/>
    <x v="0"/>
    <x v="8"/>
  </r>
  <r>
    <s v="ST079"/>
    <x v="9"/>
    <d v="2025-10-15T00:00:00"/>
    <x v="0"/>
    <d v="1899-12-30T17:44:00"/>
    <d v="1899-12-30T19:41:00"/>
    <n v="43.8"/>
    <n v="438"/>
    <x v="2"/>
    <x v="7"/>
  </r>
  <r>
    <s v="ST080"/>
    <x v="7"/>
    <d v="2025-10-15T00:00:00"/>
    <x v="2"/>
    <d v="1899-12-30T11:40:00"/>
    <d v="1899-12-30T12:48:00"/>
    <n v="53.8"/>
    <n v="538"/>
    <x v="1"/>
    <x v="2"/>
  </r>
  <r>
    <s v="ST081"/>
    <x v="0"/>
    <d v="2025-10-15T00:00:00"/>
    <x v="0"/>
    <d v="1899-12-30T18:11:00"/>
    <d v="1899-12-30T19:23:00"/>
    <n v="78"/>
    <n v="780"/>
    <x v="1"/>
    <x v="9"/>
  </r>
  <r>
    <s v="ST082"/>
    <x v="9"/>
    <d v="2025-10-15T00:00:00"/>
    <x v="0"/>
    <d v="1899-12-30T07:40:00"/>
    <d v="1899-12-30T10:12:00"/>
    <n v="11"/>
    <n v="110"/>
    <x v="2"/>
    <x v="11"/>
  </r>
  <r>
    <s v="ST083"/>
    <x v="4"/>
    <d v="2025-10-15T00:00:00"/>
    <x v="0"/>
    <d v="1899-12-30T20:26:00"/>
    <d v="1899-12-30T21:06:00"/>
    <n v="88"/>
    <n v="880"/>
    <x v="2"/>
    <x v="8"/>
  </r>
  <r>
    <s v="ST084"/>
    <x v="4"/>
    <d v="2025-10-15T00:00:00"/>
    <x v="3"/>
    <d v="1899-12-30T08:58:00"/>
    <d v="1899-12-30T10:31:00"/>
    <n v="74.400000000000006"/>
    <n v="744"/>
    <x v="1"/>
    <x v="4"/>
  </r>
  <r>
    <s v="ST085"/>
    <x v="4"/>
    <d v="2025-10-15T00:00:00"/>
    <x v="1"/>
    <d v="1899-12-30T08:55:00"/>
    <d v="1899-12-30T11:25:00"/>
    <n v="68.5"/>
    <n v="685"/>
    <x v="0"/>
    <x v="4"/>
  </r>
  <r>
    <s v="ST086"/>
    <x v="2"/>
    <d v="2025-10-15T00:00:00"/>
    <x v="0"/>
    <d v="1899-12-30T07:36:00"/>
    <d v="1899-12-30T09:25:00"/>
    <n v="15.5"/>
    <n v="155"/>
    <x v="1"/>
    <x v="11"/>
  </r>
  <r>
    <s v="ST087"/>
    <x v="9"/>
    <d v="2025-10-15T00:00:00"/>
    <x v="0"/>
    <d v="1899-12-30T13:23:00"/>
    <d v="1899-12-30T14:22:00"/>
    <n v="94"/>
    <n v="940"/>
    <x v="1"/>
    <x v="14"/>
  </r>
  <r>
    <s v="ST088"/>
    <x v="6"/>
    <d v="2025-10-15T00:00:00"/>
    <x v="2"/>
    <d v="1899-12-30T13:34:00"/>
    <d v="1899-12-30T15:17:00"/>
    <n v="99.3"/>
    <n v="993"/>
    <x v="0"/>
    <x v="14"/>
  </r>
  <r>
    <s v="ST089"/>
    <x v="3"/>
    <d v="2025-10-15T00:00:00"/>
    <x v="2"/>
    <d v="1899-12-30T18:15:00"/>
    <d v="1899-12-30T20:31:00"/>
    <n v="82.4"/>
    <n v="824"/>
    <x v="2"/>
    <x v="9"/>
  </r>
  <r>
    <s v="ST090"/>
    <x v="5"/>
    <d v="2025-10-15T00:00:00"/>
    <x v="0"/>
    <d v="1899-12-30T10:30:00"/>
    <d v="1899-12-30T12:48:00"/>
    <n v="45.4"/>
    <n v="454"/>
    <x v="2"/>
    <x v="3"/>
  </r>
  <r>
    <s v="ST091"/>
    <x v="9"/>
    <d v="2025-10-15T00:00:00"/>
    <x v="1"/>
    <d v="1899-12-30T18:59:00"/>
    <d v="1899-12-30T21:19:00"/>
    <n v="48.7"/>
    <n v="487"/>
    <x v="0"/>
    <x v="9"/>
  </r>
  <r>
    <s v="ST092"/>
    <x v="2"/>
    <d v="2025-10-15T00:00:00"/>
    <x v="3"/>
    <d v="1899-12-30T13:13:00"/>
    <d v="1899-12-30T14:22:00"/>
    <n v="17.3"/>
    <n v="173"/>
    <x v="1"/>
    <x v="14"/>
  </r>
  <r>
    <s v="ST093"/>
    <x v="5"/>
    <d v="2025-10-15T00:00:00"/>
    <x v="1"/>
    <d v="1899-12-30T16:31:00"/>
    <d v="1899-12-30T19:15:00"/>
    <n v="93.4"/>
    <n v="934"/>
    <x v="2"/>
    <x v="12"/>
  </r>
  <r>
    <s v="ST094"/>
    <x v="7"/>
    <d v="2025-10-15T00:00:00"/>
    <x v="3"/>
    <d v="1899-12-30T12:39:00"/>
    <d v="1899-12-30T13:36:00"/>
    <n v="38"/>
    <n v="380"/>
    <x v="1"/>
    <x v="0"/>
  </r>
  <r>
    <s v="ST095"/>
    <x v="7"/>
    <d v="2025-10-15T00:00:00"/>
    <x v="2"/>
    <d v="1899-12-30T07:35:00"/>
    <d v="1899-12-30T10:03:00"/>
    <n v="44.8"/>
    <n v="448"/>
    <x v="2"/>
    <x v="11"/>
  </r>
  <r>
    <s v="ST096"/>
    <x v="6"/>
    <d v="2025-10-15T00:00:00"/>
    <x v="2"/>
    <d v="1899-12-30T13:33:00"/>
    <d v="1899-12-30T14:36:00"/>
    <n v="26.6"/>
    <n v="266"/>
    <x v="2"/>
    <x v="14"/>
  </r>
  <r>
    <s v="ST097"/>
    <x v="9"/>
    <d v="2025-10-15T00:00:00"/>
    <x v="1"/>
    <d v="1899-12-30T18:45:00"/>
    <d v="1899-12-30T21:35:00"/>
    <n v="8.6"/>
    <n v="86"/>
    <x v="0"/>
    <x v="9"/>
  </r>
  <r>
    <s v="ST098"/>
    <x v="8"/>
    <d v="2025-10-15T00:00:00"/>
    <x v="3"/>
    <d v="1899-12-30T20:02:00"/>
    <d v="1899-12-30T21:40:00"/>
    <n v="38.9"/>
    <n v="389"/>
    <x v="0"/>
    <x v="8"/>
  </r>
  <r>
    <s v="ST099"/>
    <x v="8"/>
    <d v="2025-10-15T00:00:00"/>
    <x v="3"/>
    <d v="1899-12-30T11:57:00"/>
    <d v="1899-12-30T14:08:00"/>
    <n v="68.900000000000006"/>
    <n v="689"/>
    <x v="0"/>
    <x v="2"/>
  </r>
  <r>
    <s v="ST100"/>
    <x v="1"/>
    <d v="2025-10-15T00:00:00"/>
    <x v="2"/>
    <d v="1899-12-30T13:15:00"/>
    <d v="1899-12-30T14:17:00"/>
    <n v="10.1"/>
    <n v="101"/>
    <x v="2"/>
    <x v="14"/>
  </r>
  <r>
    <s v="ST101"/>
    <x v="1"/>
    <d v="2025-10-15T00:00:00"/>
    <x v="1"/>
    <d v="1899-12-30T10:42:00"/>
    <d v="1899-12-30T12:40:00"/>
    <n v="46.4"/>
    <n v="464"/>
    <x v="0"/>
    <x v="3"/>
  </r>
  <r>
    <s v="ST102"/>
    <x v="2"/>
    <d v="2025-10-15T00:00:00"/>
    <x v="2"/>
    <d v="1899-12-30T19:32:00"/>
    <d v="1899-12-30T21:57:00"/>
    <n v="59.7"/>
    <n v="597"/>
    <x v="1"/>
    <x v="13"/>
  </r>
  <r>
    <s v="ST103"/>
    <x v="3"/>
    <d v="2025-10-15T00:00:00"/>
    <x v="3"/>
    <d v="1899-12-30T10:06:00"/>
    <d v="1899-12-30T11:23:00"/>
    <n v="67.900000000000006"/>
    <n v="679"/>
    <x v="1"/>
    <x v="3"/>
  </r>
  <r>
    <s v="ST104"/>
    <x v="7"/>
    <d v="2025-10-15T00:00:00"/>
    <x v="2"/>
    <d v="1899-12-30T19:38:00"/>
    <d v="1899-12-30T22:17:00"/>
    <n v="96.1"/>
    <n v="961"/>
    <x v="1"/>
    <x v="13"/>
  </r>
  <r>
    <s v="ST105"/>
    <x v="2"/>
    <d v="2025-10-15T00:00:00"/>
    <x v="3"/>
    <d v="1899-12-30T17:26:00"/>
    <d v="1899-12-30T19:23:00"/>
    <n v="3.2"/>
    <n v="32"/>
    <x v="0"/>
    <x v="7"/>
  </r>
  <r>
    <s v="ST106"/>
    <x v="2"/>
    <d v="2025-10-15T00:00:00"/>
    <x v="1"/>
    <d v="1899-12-30T16:05:00"/>
    <d v="1899-12-30T16:37:00"/>
    <n v="83.5"/>
    <n v="835"/>
    <x v="2"/>
    <x v="12"/>
  </r>
  <r>
    <s v="ST107"/>
    <x v="9"/>
    <d v="2025-10-15T00:00:00"/>
    <x v="2"/>
    <d v="1899-12-30T15:57:00"/>
    <d v="1899-12-30T18:36:00"/>
    <n v="38"/>
    <n v="380"/>
    <x v="0"/>
    <x v="1"/>
  </r>
  <r>
    <s v="ST108"/>
    <x v="9"/>
    <d v="2025-10-15T00:00:00"/>
    <x v="3"/>
    <d v="1899-12-30T10:47:00"/>
    <d v="1899-12-30T13:33:00"/>
    <n v="42.6"/>
    <n v="426"/>
    <x v="1"/>
    <x v="3"/>
  </r>
  <r>
    <s v="ST109"/>
    <x v="4"/>
    <d v="2025-10-15T00:00:00"/>
    <x v="2"/>
    <d v="1899-12-30T18:45:00"/>
    <d v="1899-12-30T21:01:00"/>
    <n v="74.3"/>
    <n v="743"/>
    <x v="1"/>
    <x v="9"/>
  </r>
  <r>
    <s v="ST110"/>
    <x v="1"/>
    <d v="2025-10-15T00:00:00"/>
    <x v="0"/>
    <d v="1899-12-30T14:19:00"/>
    <d v="1899-12-30T15:36:00"/>
    <n v="38.299999999999997"/>
    <n v="383"/>
    <x v="0"/>
    <x v="10"/>
  </r>
  <r>
    <s v="ST111"/>
    <x v="6"/>
    <d v="2025-10-15T00:00:00"/>
    <x v="0"/>
    <d v="1899-12-30T14:10:00"/>
    <d v="1899-12-30T15:48:00"/>
    <n v="64.3"/>
    <n v="643"/>
    <x v="1"/>
    <x v="10"/>
  </r>
  <r>
    <s v="ST112"/>
    <x v="9"/>
    <d v="2025-10-15T00:00:00"/>
    <x v="0"/>
    <d v="1899-12-30T12:53:00"/>
    <d v="1899-12-30T13:24:00"/>
    <n v="21"/>
    <n v="210"/>
    <x v="0"/>
    <x v="0"/>
  </r>
  <r>
    <s v="ST113"/>
    <x v="3"/>
    <d v="2025-10-15T00:00:00"/>
    <x v="2"/>
    <d v="1899-12-30T15:29:00"/>
    <d v="1899-12-30T17:21:00"/>
    <n v="73.2"/>
    <n v="732"/>
    <x v="0"/>
    <x v="1"/>
  </r>
  <r>
    <s v="ST114"/>
    <x v="8"/>
    <d v="2025-10-15T00:00:00"/>
    <x v="1"/>
    <d v="1899-12-30T18:52:00"/>
    <d v="1899-12-30T20:47:00"/>
    <n v="19.600000000000001"/>
    <n v="196"/>
    <x v="1"/>
    <x v="9"/>
  </r>
  <r>
    <s v="ST115"/>
    <x v="8"/>
    <d v="2025-10-15T00:00:00"/>
    <x v="3"/>
    <d v="1899-12-30T06:59:00"/>
    <d v="1899-12-30T09:09:00"/>
    <n v="24.1"/>
    <n v="241"/>
    <x v="1"/>
    <x v="5"/>
  </r>
  <r>
    <s v="ST116"/>
    <x v="0"/>
    <d v="2025-10-15T00:00:00"/>
    <x v="2"/>
    <d v="1899-12-30T11:35:00"/>
    <d v="1899-12-30T14:19:00"/>
    <n v="29.8"/>
    <n v="298"/>
    <x v="2"/>
    <x v="2"/>
  </r>
  <r>
    <s v="ST117"/>
    <x v="9"/>
    <d v="2025-10-15T00:00:00"/>
    <x v="3"/>
    <d v="1899-12-30T07:25:00"/>
    <d v="1899-12-30T09:53:00"/>
    <n v="86.8"/>
    <n v="868"/>
    <x v="2"/>
    <x v="11"/>
  </r>
  <r>
    <s v="ST118"/>
    <x v="8"/>
    <d v="2025-10-15T00:00:00"/>
    <x v="2"/>
    <d v="1899-12-30T08:23:00"/>
    <d v="1899-12-30T10:11:00"/>
    <n v="26.8"/>
    <n v="268"/>
    <x v="2"/>
    <x v="4"/>
  </r>
  <r>
    <s v="ST119"/>
    <x v="4"/>
    <d v="2025-10-15T00:00:00"/>
    <x v="3"/>
    <d v="1899-12-30T11:04:00"/>
    <d v="1899-12-30T13:36:00"/>
    <n v="97.4"/>
    <n v="974"/>
    <x v="2"/>
    <x v="2"/>
  </r>
  <r>
    <s v="ST120"/>
    <x v="9"/>
    <d v="2025-10-15T00:00:00"/>
    <x v="1"/>
    <d v="1899-12-30T10:03:00"/>
    <d v="1899-12-30T12:35:00"/>
    <n v="44.6"/>
    <n v="446"/>
    <x v="1"/>
    <x v="3"/>
  </r>
  <r>
    <s v="ST121"/>
    <x v="4"/>
    <d v="2025-10-15T00:00:00"/>
    <x v="2"/>
    <d v="1899-12-30T06:45:00"/>
    <d v="1899-12-30T07:15:00"/>
    <n v="50.9"/>
    <n v="509"/>
    <x v="0"/>
    <x v="5"/>
  </r>
  <r>
    <s v="ST122"/>
    <x v="9"/>
    <d v="2025-10-15T00:00:00"/>
    <x v="0"/>
    <d v="1899-12-30T16:17:00"/>
    <d v="1899-12-30T18:30:00"/>
    <n v="73.3"/>
    <n v="733"/>
    <x v="1"/>
    <x v="12"/>
  </r>
  <r>
    <s v="ST123"/>
    <x v="1"/>
    <d v="2025-10-15T00:00:00"/>
    <x v="2"/>
    <d v="1899-12-30T10:25:00"/>
    <d v="1899-12-30T13:11:00"/>
    <n v="67"/>
    <n v="670"/>
    <x v="1"/>
    <x v="3"/>
  </r>
  <r>
    <s v="ST124"/>
    <x v="5"/>
    <d v="2025-10-15T00:00:00"/>
    <x v="2"/>
    <d v="1899-12-30T08:16:00"/>
    <d v="1899-12-30T09:26:00"/>
    <n v="59.8"/>
    <n v="598"/>
    <x v="1"/>
    <x v="4"/>
  </r>
  <r>
    <s v="ST125"/>
    <x v="4"/>
    <d v="2025-10-15T00:00:00"/>
    <x v="2"/>
    <d v="1899-12-30T18:06:00"/>
    <d v="1899-12-30T20:15:00"/>
    <n v="82.5"/>
    <n v="825"/>
    <x v="2"/>
    <x v="9"/>
  </r>
  <r>
    <s v="ST126"/>
    <x v="5"/>
    <d v="2025-10-15T00:00:00"/>
    <x v="3"/>
    <d v="1899-12-30T07:14:00"/>
    <d v="1899-12-30T08:38:00"/>
    <n v="91.9"/>
    <n v="919"/>
    <x v="2"/>
    <x v="11"/>
  </r>
  <r>
    <s v="ST127"/>
    <x v="8"/>
    <d v="2025-10-15T00:00:00"/>
    <x v="2"/>
    <d v="1899-12-30T08:11:00"/>
    <d v="1899-12-30T10:30:00"/>
    <n v="44.6"/>
    <n v="446"/>
    <x v="2"/>
    <x v="4"/>
  </r>
  <r>
    <s v="ST128"/>
    <x v="4"/>
    <d v="2025-10-15T00:00:00"/>
    <x v="2"/>
    <d v="1899-12-30T11:47:00"/>
    <d v="1899-12-30T14:24:00"/>
    <n v="49.5"/>
    <n v="495"/>
    <x v="1"/>
    <x v="2"/>
  </r>
  <r>
    <s v="ST129"/>
    <x v="8"/>
    <d v="2025-10-15T00:00:00"/>
    <x v="1"/>
    <d v="1899-12-30T08:01:00"/>
    <d v="1899-12-30T09:09:00"/>
    <n v="79.400000000000006"/>
    <n v="794"/>
    <x v="0"/>
    <x v="4"/>
  </r>
  <r>
    <s v="ST130"/>
    <x v="4"/>
    <d v="2025-10-15T00:00:00"/>
    <x v="2"/>
    <d v="1899-12-30T12:35:00"/>
    <d v="1899-12-30T14:26:00"/>
    <n v="43.3"/>
    <n v="433"/>
    <x v="1"/>
    <x v="0"/>
  </r>
  <r>
    <s v="ST131"/>
    <x v="7"/>
    <d v="2025-10-15T00:00:00"/>
    <x v="1"/>
    <d v="1899-12-30T11:30:00"/>
    <d v="1899-12-30T12:49:00"/>
    <n v="43.8"/>
    <n v="438"/>
    <x v="0"/>
    <x v="2"/>
  </r>
  <r>
    <s v="ST132"/>
    <x v="8"/>
    <d v="2025-10-15T00:00:00"/>
    <x v="3"/>
    <d v="1899-12-30T07:07:00"/>
    <d v="1899-12-30T08:59:00"/>
    <n v="69.5"/>
    <n v="695"/>
    <x v="0"/>
    <x v="11"/>
  </r>
  <r>
    <s v="ST133"/>
    <x v="7"/>
    <d v="2025-10-15T00:00:00"/>
    <x v="3"/>
    <d v="1899-12-30T17:42:00"/>
    <d v="1899-12-30T20:19:00"/>
    <n v="44.1"/>
    <n v="441"/>
    <x v="2"/>
    <x v="7"/>
  </r>
  <r>
    <s v="ST134"/>
    <x v="2"/>
    <d v="2025-10-15T00:00:00"/>
    <x v="3"/>
    <d v="1899-12-30T09:02:00"/>
    <d v="1899-12-30T11:57:00"/>
    <n v="35.799999999999997"/>
    <n v="358"/>
    <x v="1"/>
    <x v="6"/>
  </r>
  <r>
    <s v="ST135"/>
    <x v="7"/>
    <d v="2025-10-15T00:00:00"/>
    <x v="2"/>
    <d v="1899-12-30T15:46:00"/>
    <d v="1899-12-30T16:31:00"/>
    <n v="94.2"/>
    <n v="942"/>
    <x v="0"/>
    <x v="1"/>
  </r>
  <r>
    <s v="ST136"/>
    <x v="7"/>
    <d v="2025-10-15T00:00:00"/>
    <x v="1"/>
    <d v="1899-12-30T18:03:00"/>
    <d v="1899-12-30T19:25:00"/>
    <n v="63.6"/>
    <n v="636"/>
    <x v="0"/>
    <x v="9"/>
  </r>
  <r>
    <s v="ST137"/>
    <x v="8"/>
    <d v="2025-10-15T00:00:00"/>
    <x v="1"/>
    <d v="1899-12-30T15:00:00"/>
    <d v="1899-12-30T17:37:00"/>
    <n v="49.4"/>
    <n v="494"/>
    <x v="1"/>
    <x v="1"/>
  </r>
  <r>
    <s v="ST138"/>
    <x v="2"/>
    <d v="2025-10-15T00:00:00"/>
    <x v="2"/>
    <d v="1899-12-30T07:00:00"/>
    <d v="1899-12-30T08:55:00"/>
    <n v="28.7"/>
    <n v="287"/>
    <x v="0"/>
    <x v="11"/>
  </r>
  <r>
    <s v="ST139"/>
    <x v="4"/>
    <d v="2025-10-15T00:00:00"/>
    <x v="1"/>
    <d v="1899-12-30T12:06:00"/>
    <d v="1899-12-30T13:44:00"/>
    <n v="87.8"/>
    <n v="878"/>
    <x v="2"/>
    <x v="0"/>
  </r>
  <r>
    <s v="ST140"/>
    <x v="3"/>
    <d v="2025-10-15T00:00:00"/>
    <x v="2"/>
    <d v="1899-12-30T08:24:00"/>
    <d v="1899-12-30T08:59:00"/>
    <n v="29.4"/>
    <n v="294"/>
    <x v="1"/>
    <x v="4"/>
  </r>
  <r>
    <s v="ST141"/>
    <x v="5"/>
    <d v="2025-10-15T00:00:00"/>
    <x v="2"/>
    <d v="1899-12-30T08:01:00"/>
    <d v="1899-12-30T09:41:00"/>
    <n v="72.5"/>
    <n v="725"/>
    <x v="2"/>
    <x v="4"/>
  </r>
  <r>
    <s v="ST142"/>
    <x v="8"/>
    <d v="2025-10-15T00:00:00"/>
    <x v="3"/>
    <d v="1899-12-30T15:04:00"/>
    <d v="1899-12-30T16:03:00"/>
    <n v="26.3"/>
    <n v="263"/>
    <x v="0"/>
    <x v="1"/>
  </r>
  <r>
    <s v="ST143"/>
    <x v="2"/>
    <d v="2025-10-15T00:00:00"/>
    <x v="2"/>
    <d v="1899-12-30T17:54:00"/>
    <d v="1899-12-30T18:52:00"/>
    <n v="93.1"/>
    <n v="931"/>
    <x v="2"/>
    <x v="7"/>
  </r>
  <r>
    <s v="ST144"/>
    <x v="8"/>
    <d v="2025-10-15T00:00:00"/>
    <x v="0"/>
    <d v="1899-12-30T06:50:00"/>
    <d v="1899-12-30T07:56:00"/>
    <n v="49.1"/>
    <n v="491"/>
    <x v="0"/>
    <x v="5"/>
  </r>
  <r>
    <s v="ST145"/>
    <x v="0"/>
    <d v="2025-10-15T00:00:00"/>
    <x v="1"/>
    <d v="1899-12-30T11:02:00"/>
    <d v="1899-12-30T12:07:00"/>
    <n v="66.099999999999994"/>
    <n v="661"/>
    <x v="0"/>
    <x v="2"/>
  </r>
  <r>
    <s v="ST146"/>
    <x v="5"/>
    <d v="2025-10-15T00:00:00"/>
    <x v="3"/>
    <d v="1899-12-30T20:17:00"/>
    <d v="1899-12-30T20:54:00"/>
    <n v="12.9"/>
    <n v="129"/>
    <x v="1"/>
    <x v="8"/>
  </r>
  <r>
    <s v="ST147"/>
    <x v="7"/>
    <d v="2025-10-15T00:00:00"/>
    <x v="1"/>
    <d v="1899-12-30T17:27:00"/>
    <d v="1899-12-30T20:19:00"/>
    <n v="26.3"/>
    <n v="263"/>
    <x v="1"/>
    <x v="7"/>
  </r>
  <r>
    <s v="ST148"/>
    <x v="3"/>
    <d v="2025-10-15T00:00:00"/>
    <x v="1"/>
    <d v="1899-12-30T06:32:00"/>
    <d v="1899-12-30T08:45:00"/>
    <n v="32.299999999999997"/>
    <n v="323"/>
    <x v="2"/>
    <x v="5"/>
  </r>
  <r>
    <s v="ST149"/>
    <x v="3"/>
    <d v="2025-10-15T00:00:00"/>
    <x v="0"/>
    <d v="1899-12-30T15:19:00"/>
    <d v="1899-12-30T17:20:00"/>
    <n v="31.4"/>
    <n v="314"/>
    <x v="1"/>
    <x v="1"/>
  </r>
  <r>
    <s v="ST150"/>
    <x v="2"/>
    <d v="2025-10-15T00:00:00"/>
    <x v="1"/>
    <d v="1899-12-30T19:54:00"/>
    <d v="1899-12-30T21:26:00"/>
    <n v="29.9"/>
    <n v="299"/>
    <x v="2"/>
    <x v="13"/>
  </r>
  <r>
    <s v="ST151"/>
    <x v="3"/>
    <d v="2025-10-15T00:00:00"/>
    <x v="2"/>
    <d v="1899-12-30T06:43:00"/>
    <d v="1899-12-30T07:55:00"/>
    <n v="56.6"/>
    <n v="566"/>
    <x v="2"/>
    <x v="5"/>
  </r>
  <r>
    <s v="ST152"/>
    <x v="8"/>
    <d v="2025-10-15T00:00:00"/>
    <x v="1"/>
    <d v="1899-12-30T19:06:00"/>
    <d v="1899-12-30T20:58:00"/>
    <n v="54.1"/>
    <n v="541"/>
    <x v="2"/>
    <x v="13"/>
  </r>
  <r>
    <s v="ST153"/>
    <x v="6"/>
    <d v="2025-10-15T00:00:00"/>
    <x v="1"/>
    <d v="1899-12-30T06:51:00"/>
    <d v="1899-12-30T08:52:00"/>
    <n v="53.2"/>
    <n v="532"/>
    <x v="0"/>
    <x v="5"/>
  </r>
  <r>
    <s v="ST154"/>
    <x v="1"/>
    <d v="2025-10-15T00:00:00"/>
    <x v="3"/>
    <d v="1899-12-30T15:51:00"/>
    <d v="1899-12-30T17:19:00"/>
    <n v="51.6"/>
    <n v="516"/>
    <x v="1"/>
    <x v="1"/>
  </r>
  <r>
    <s v="ST155"/>
    <x v="3"/>
    <d v="2025-10-15T00:00:00"/>
    <x v="0"/>
    <d v="1899-12-30T15:49:00"/>
    <d v="1899-12-30T18:27:00"/>
    <n v="11.3"/>
    <n v="113"/>
    <x v="1"/>
    <x v="1"/>
  </r>
  <r>
    <s v="ST156"/>
    <x v="6"/>
    <d v="2025-10-15T00:00:00"/>
    <x v="2"/>
    <d v="1899-12-30T08:06:00"/>
    <d v="1899-12-30T08:47:00"/>
    <n v="71.5"/>
    <n v="715"/>
    <x v="1"/>
    <x v="4"/>
  </r>
  <r>
    <s v="ST157"/>
    <x v="4"/>
    <d v="2025-10-15T00:00:00"/>
    <x v="0"/>
    <d v="1899-12-30T18:55:00"/>
    <d v="1899-12-30T20:34:00"/>
    <n v="31.4"/>
    <n v="314"/>
    <x v="1"/>
    <x v="9"/>
  </r>
  <r>
    <s v="ST158"/>
    <x v="5"/>
    <d v="2025-10-15T00:00:00"/>
    <x v="3"/>
    <d v="1899-12-30T16:18:00"/>
    <d v="1899-12-30T18:55:00"/>
    <n v="54.2"/>
    <n v="542"/>
    <x v="0"/>
    <x v="12"/>
  </r>
  <r>
    <s v="ST159"/>
    <x v="3"/>
    <d v="2025-10-15T00:00:00"/>
    <x v="2"/>
    <d v="1899-12-30T10:08:00"/>
    <d v="1899-12-30T12:46:00"/>
    <n v="26.1"/>
    <n v="261"/>
    <x v="0"/>
    <x v="3"/>
  </r>
  <r>
    <s v="ST160"/>
    <x v="7"/>
    <d v="2025-10-15T00:00:00"/>
    <x v="1"/>
    <d v="1899-12-30T14:56:00"/>
    <d v="1899-12-30T16:52:00"/>
    <n v="9.3000000000000007"/>
    <n v="93"/>
    <x v="0"/>
    <x v="10"/>
  </r>
  <r>
    <s v="ST161"/>
    <x v="4"/>
    <d v="2025-10-15T00:00:00"/>
    <x v="3"/>
    <d v="1899-12-30T11:35:00"/>
    <d v="1899-12-30T13:33:00"/>
    <n v="45.3"/>
    <n v="453"/>
    <x v="1"/>
    <x v="2"/>
  </r>
  <r>
    <s v="ST162"/>
    <x v="3"/>
    <d v="2025-10-15T00:00:00"/>
    <x v="0"/>
    <d v="1899-12-30T19:11:00"/>
    <d v="1899-12-30T21:35:00"/>
    <n v="9.4"/>
    <n v="94"/>
    <x v="2"/>
    <x v="13"/>
  </r>
  <r>
    <s v="ST163"/>
    <x v="9"/>
    <d v="2025-10-15T00:00:00"/>
    <x v="0"/>
    <d v="1899-12-30T09:12:00"/>
    <d v="1899-12-30T10:19:00"/>
    <n v="67.7"/>
    <n v="677"/>
    <x v="1"/>
    <x v="6"/>
  </r>
  <r>
    <s v="ST164"/>
    <x v="3"/>
    <d v="2025-10-15T00:00:00"/>
    <x v="2"/>
    <d v="1899-12-30T17:59:00"/>
    <d v="1899-12-30T18:31:00"/>
    <n v="64.3"/>
    <n v="643"/>
    <x v="0"/>
    <x v="7"/>
  </r>
  <r>
    <s v="ST165"/>
    <x v="6"/>
    <d v="2025-10-15T00:00:00"/>
    <x v="3"/>
    <d v="1899-12-30T19:52:00"/>
    <d v="1899-12-30T21:38:00"/>
    <n v="8.3000000000000007"/>
    <n v="83"/>
    <x v="0"/>
    <x v="13"/>
  </r>
  <r>
    <s v="ST166"/>
    <x v="9"/>
    <d v="2025-10-15T00:00:00"/>
    <x v="1"/>
    <d v="1899-12-30T08:25:00"/>
    <d v="1899-12-30T10:05:00"/>
    <n v="33.1"/>
    <n v="331"/>
    <x v="2"/>
    <x v="4"/>
  </r>
  <r>
    <s v="ST167"/>
    <x v="8"/>
    <d v="2025-10-15T00:00:00"/>
    <x v="3"/>
    <d v="1899-12-30T11:58:00"/>
    <d v="1899-12-30T14:14:00"/>
    <n v="3.3"/>
    <n v="33"/>
    <x v="1"/>
    <x v="2"/>
  </r>
  <r>
    <s v="ST168"/>
    <x v="0"/>
    <d v="2025-10-15T00:00:00"/>
    <x v="0"/>
    <d v="1899-12-30T13:38:00"/>
    <d v="1899-12-30T15:31:00"/>
    <n v="78.5"/>
    <n v="785"/>
    <x v="1"/>
    <x v="14"/>
  </r>
  <r>
    <s v="ST169"/>
    <x v="7"/>
    <d v="2025-10-15T00:00:00"/>
    <x v="2"/>
    <d v="1899-12-30T16:12:00"/>
    <d v="1899-12-30T16:47:00"/>
    <n v="25.6"/>
    <n v="256"/>
    <x v="1"/>
    <x v="12"/>
  </r>
  <r>
    <s v="ST170"/>
    <x v="4"/>
    <d v="2025-10-15T00:00:00"/>
    <x v="1"/>
    <d v="1899-12-30T06:28:00"/>
    <d v="1899-12-30T07:48:00"/>
    <n v="11.1"/>
    <n v="111"/>
    <x v="0"/>
    <x v="5"/>
  </r>
  <r>
    <s v="ST171"/>
    <x v="3"/>
    <d v="2025-10-15T00:00:00"/>
    <x v="3"/>
    <d v="1899-12-30T14:14:00"/>
    <d v="1899-12-30T16:58:00"/>
    <n v="88.8"/>
    <n v="888"/>
    <x v="0"/>
    <x v="10"/>
  </r>
  <r>
    <s v="ST172"/>
    <x v="5"/>
    <d v="2025-10-15T00:00:00"/>
    <x v="0"/>
    <d v="1899-12-30T13:55:00"/>
    <d v="1899-12-30T15:08:00"/>
    <n v="10.4"/>
    <n v="104"/>
    <x v="1"/>
    <x v="14"/>
  </r>
  <r>
    <s v="ST173"/>
    <x v="8"/>
    <d v="2025-10-15T00:00:00"/>
    <x v="0"/>
    <d v="1899-12-30T11:01:00"/>
    <d v="1899-12-30T12:38:00"/>
    <n v="74.400000000000006"/>
    <n v="744"/>
    <x v="0"/>
    <x v="2"/>
  </r>
  <r>
    <s v="ST174"/>
    <x v="4"/>
    <d v="2025-10-15T00:00:00"/>
    <x v="0"/>
    <d v="1899-12-30T10:04:00"/>
    <d v="1899-12-30T12:29:00"/>
    <n v="75.3"/>
    <n v="753"/>
    <x v="0"/>
    <x v="3"/>
  </r>
  <r>
    <s v="ST175"/>
    <x v="4"/>
    <d v="2025-10-15T00:00:00"/>
    <x v="1"/>
    <d v="1899-12-30T19:57:00"/>
    <d v="1899-12-30T22:21:00"/>
    <n v="97.4"/>
    <n v="974"/>
    <x v="1"/>
    <x v="13"/>
  </r>
  <r>
    <s v="ST176"/>
    <x v="8"/>
    <d v="2025-10-15T00:00:00"/>
    <x v="0"/>
    <d v="1899-12-30T17:14:00"/>
    <d v="1899-12-30T18:10:00"/>
    <n v="29.2"/>
    <n v="292"/>
    <x v="0"/>
    <x v="7"/>
  </r>
  <r>
    <s v="ST177"/>
    <x v="5"/>
    <d v="2025-10-15T00:00:00"/>
    <x v="3"/>
    <d v="1899-12-30T09:43:00"/>
    <d v="1899-12-30T11:05:00"/>
    <n v="90.5"/>
    <n v="905"/>
    <x v="0"/>
    <x v="6"/>
  </r>
  <r>
    <s v="ST178"/>
    <x v="7"/>
    <d v="2025-10-15T00:00:00"/>
    <x v="0"/>
    <d v="1899-12-30T20:06:00"/>
    <d v="1899-12-30T21:58:00"/>
    <n v="27.3"/>
    <n v="273"/>
    <x v="1"/>
    <x v="8"/>
  </r>
  <r>
    <s v="ST179"/>
    <x v="0"/>
    <d v="2025-10-15T00:00:00"/>
    <x v="2"/>
    <d v="1899-12-30T10:51:00"/>
    <d v="1899-12-30T11:51:00"/>
    <n v="51.6"/>
    <n v="516"/>
    <x v="2"/>
    <x v="3"/>
  </r>
  <r>
    <s v="ST180"/>
    <x v="4"/>
    <d v="2025-10-15T00:00:00"/>
    <x v="3"/>
    <d v="1899-12-30T14:50:00"/>
    <d v="1899-12-30T15:32:00"/>
    <n v="22.3"/>
    <n v="223"/>
    <x v="2"/>
    <x v="10"/>
  </r>
  <r>
    <s v="ST181"/>
    <x v="9"/>
    <d v="2025-10-15T00:00:00"/>
    <x v="0"/>
    <d v="1899-12-30T07:13:00"/>
    <d v="1899-12-30T09:49:00"/>
    <n v="73.5"/>
    <n v="735"/>
    <x v="1"/>
    <x v="11"/>
  </r>
  <r>
    <s v="ST182"/>
    <x v="7"/>
    <d v="2025-10-15T00:00:00"/>
    <x v="1"/>
    <d v="1899-12-30T17:37:00"/>
    <d v="1899-12-30T18:27:00"/>
    <n v="31.9"/>
    <n v="319"/>
    <x v="2"/>
    <x v="7"/>
  </r>
  <r>
    <s v="ST183"/>
    <x v="6"/>
    <d v="2025-10-15T00:00:00"/>
    <x v="2"/>
    <d v="1899-12-30T17:59:00"/>
    <d v="1899-12-30T18:38:00"/>
    <n v="56.7"/>
    <n v="567"/>
    <x v="1"/>
    <x v="7"/>
  </r>
  <r>
    <s v="ST184"/>
    <x v="2"/>
    <d v="2025-10-15T00:00:00"/>
    <x v="0"/>
    <d v="1899-12-30T14:07:00"/>
    <d v="1899-12-30T14:44:00"/>
    <n v="7.1"/>
    <n v="71"/>
    <x v="0"/>
    <x v="10"/>
  </r>
  <r>
    <s v="ST185"/>
    <x v="4"/>
    <d v="2025-10-15T00:00:00"/>
    <x v="2"/>
    <d v="1899-12-30T14:13:00"/>
    <d v="1899-12-30T17:09:00"/>
    <n v="79.5"/>
    <n v="795"/>
    <x v="2"/>
    <x v="10"/>
  </r>
  <r>
    <s v="ST186"/>
    <x v="3"/>
    <d v="2025-10-15T00:00:00"/>
    <x v="0"/>
    <d v="1899-12-30T14:28:00"/>
    <d v="1899-12-30T16:20:00"/>
    <n v="47.2"/>
    <n v="472"/>
    <x v="1"/>
    <x v="10"/>
  </r>
  <r>
    <s v="ST187"/>
    <x v="2"/>
    <d v="2025-10-15T00:00:00"/>
    <x v="3"/>
    <d v="1899-12-30T20:43:00"/>
    <d v="1899-12-30T21:47:00"/>
    <n v="10.5"/>
    <n v="105"/>
    <x v="0"/>
    <x v="8"/>
  </r>
  <r>
    <s v="ST188"/>
    <x v="7"/>
    <d v="2025-10-15T00:00:00"/>
    <x v="1"/>
    <d v="1899-12-30T13:31:00"/>
    <d v="1899-12-30T15:50:00"/>
    <n v="13.8"/>
    <n v="138"/>
    <x v="0"/>
    <x v="14"/>
  </r>
  <r>
    <s v="ST189"/>
    <x v="9"/>
    <d v="2025-10-15T00:00:00"/>
    <x v="0"/>
    <d v="1899-12-30T18:28:00"/>
    <d v="1899-12-30T19:32:00"/>
    <n v="3.4"/>
    <n v="34"/>
    <x v="0"/>
    <x v="9"/>
  </r>
  <r>
    <s v="ST190"/>
    <x v="6"/>
    <d v="2025-10-15T00:00:00"/>
    <x v="0"/>
    <d v="1899-12-30T14:58:00"/>
    <d v="1899-12-30T16:19:00"/>
    <n v="40.6"/>
    <n v="406"/>
    <x v="2"/>
    <x v="10"/>
  </r>
  <r>
    <s v="ST191"/>
    <x v="8"/>
    <d v="2025-10-15T00:00:00"/>
    <x v="0"/>
    <d v="1899-12-30T06:11:00"/>
    <d v="1899-12-30T08:02:00"/>
    <n v="73.3"/>
    <n v="733"/>
    <x v="2"/>
    <x v="5"/>
  </r>
  <r>
    <s v="ST192"/>
    <x v="4"/>
    <d v="2025-10-15T00:00:00"/>
    <x v="3"/>
    <d v="1899-12-30T20:12:00"/>
    <d v="1899-12-30T22:12:00"/>
    <n v="23.9"/>
    <n v="239"/>
    <x v="0"/>
    <x v="8"/>
  </r>
  <r>
    <s v="ST193"/>
    <x v="7"/>
    <d v="2025-10-15T00:00:00"/>
    <x v="1"/>
    <d v="1899-12-30T15:02:00"/>
    <d v="1899-12-30T16:18:00"/>
    <n v="74.8"/>
    <n v="748"/>
    <x v="1"/>
    <x v="1"/>
  </r>
  <r>
    <s v="ST194"/>
    <x v="2"/>
    <d v="2025-10-15T00:00:00"/>
    <x v="3"/>
    <d v="1899-12-30T17:15:00"/>
    <d v="1899-12-30T18:05:00"/>
    <n v="76.400000000000006"/>
    <n v="764"/>
    <x v="0"/>
    <x v="7"/>
  </r>
  <r>
    <s v="ST195"/>
    <x v="7"/>
    <d v="2025-10-15T00:00:00"/>
    <x v="3"/>
    <d v="1899-12-30T10:50:00"/>
    <d v="1899-12-30T12:20:00"/>
    <n v="26.6"/>
    <n v="266"/>
    <x v="2"/>
    <x v="3"/>
  </r>
  <r>
    <s v="ST196"/>
    <x v="1"/>
    <d v="2025-10-15T00:00:00"/>
    <x v="3"/>
    <d v="1899-12-30T07:35:00"/>
    <d v="1899-12-30T10:29:00"/>
    <n v="80"/>
    <n v="800"/>
    <x v="0"/>
    <x v="11"/>
  </r>
  <r>
    <s v="ST197"/>
    <x v="9"/>
    <d v="2025-10-15T00:00:00"/>
    <x v="3"/>
    <d v="1899-12-30T12:41:00"/>
    <d v="1899-12-30T14:25:00"/>
    <n v="4"/>
    <n v="40"/>
    <x v="2"/>
    <x v="0"/>
  </r>
  <r>
    <s v="ST198"/>
    <x v="4"/>
    <d v="2025-10-15T00:00:00"/>
    <x v="3"/>
    <d v="1899-12-30T17:40:00"/>
    <d v="1899-12-30T18:40:00"/>
    <n v="11"/>
    <n v="110"/>
    <x v="0"/>
    <x v="7"/>
  </r>
  <r>
    <s v="ST199"/>
    <x v="5"/>
    <d v="2025-10-15T00:00:00"/>
    <x v="2"/>
    <d v="1899-12-30T15:32:00"/>
    <d v="1899-12-30T16:02:00"/>
    <n v="83.1"/>
    <n v="831"/>
    <x v="1"/>
    <x v="1"/>
  </r>
  <r>
    <s v="ST200"/>
    <x v="7"/>
    <d v="2025-10-15T00:00:00"/>
    <x v="0"/>
    <d v="1899-12-30T18:11:00"/>
    <d v="1899-12-30T19:17:00"/>
    <n v="63.2"/>
    <n v="632"/>
    <x v="0"/>
    <x v="9"/>
  </r>
  <r>
    <s v="ST201"/>
    <x v="5"/>
    <d v="2025-10-15T00:00:00"/>
    <x v="3"/>
    <d v="1899-12-30T19:06:00"/>
    <d v="1899-12-30T20:08:00"/>
    <n v="56.9"/>
    <n v="569"/>
    <x v="0"/>
    <x v="13"/>
  </r>
  <r>
    <s v="ST202"/>
    <x v="2"/>
    <d v="2025-10-15T00:00:00"/>
    <x v="1"/>
    <d v="1899-12-30T09:10:00"/>
    <d v="1899-12-30T10:45:00"/>
    <n v="97.1"/>
    <n v="971"/>
    <x v="0"/>
    <x v="6"/>
  </r>
  <r>
    <s v="ST203"/>
    <x v="2"/>
    <d v="2025-10-15T00:00:00"/>
    <x v="3"/>
    <d v="1899-12-30T10:54:00"/>
    <d v="1899-12-30T13:54:00"/>
    <n v="16.5"/>
    <n v="165"/>
    <x v="0"/>
    <x v="3"/>
  </r>
  <r>
    <s v="ST204"/>
    <x v="6"/>
    <d v="2025-10-15T00:00:00"/>
    <x v="2"/>
    <d v="1899-12-30T11:26:00"/>
    <d v="1899-12-30T14:09:00"/>
    <n v="5.0999999999999996"/>
    <n v="51"/>
    <x v="0"/>
    <x v="2"/>
  </r>
  <r>
    <s v="ST205"/>
    <x v="5"/>
    <d v="2025-10-15T00:00:00"/>
    <x v="2"/>
    <d v="1899-12-30T08:41:00"/>
    <d v="1899-12-30T09:12:00"/>
    <n v="48.2"/>
    <n v="482"/>
    <x v="2"/>
    <x v="4"/>
  </r>
  <r>
    <s v="ST206"/>
    <x v="1"/>
    <d v="2025-10-15T00:00:00"/>
    <x v="1"/>
    <d v="1899-12-30T11:37:00"/>
    <d v="1899-12-30T14:00:00"/>
    <n v="63.4"/>
    <n v="634"/>
    <x v="1"/>
    <x v="2"/>
  </r>
  <r>
    <s v="ST207"/>
    <x v="5"/>
    <d v="2025-10-15T00:00:00"/>
    <x v="0"/>
    <d v="1899-12-30T11:59:00"/>
    <d v="1899-12-30T12:55:00"/>
    <n v="57.3"/>
    <n v="573"/>
    <x v="2"/>
    <x v="2"/>
  </r>
  <r>
    <s v="ST208"/>
    <x v="0"/>
    <d v="2025-10-15T00:00:00"/>
    <x v="2"/>
    <d v="1899-12-30T15:44:00"/>
    <d v="1899-12-30T16:16:00"/>
    <n v="57.7"/>
    <n v="577"/>
    <x v="0"/>
    <x v="1"/>
  </r>
  <r>
    <s v="ST209"/>
    <x v="2"/>
    <d v="2025-10-15T00:00:00"/>
    <x v="0"/>
    <d v="1899-12-30T09:48:00"/>
    <d v="1899-12-30T11:44:00"/>
    <n v="97.4"/>
    <n v="974"/>
    <x v="2"/>
    <x v="6"/>
  </r>
  <r>
    <s v="ST210"/>
    <x v="3"/>
    <d v="2025-10-15T00:00:00"/>
    <x v="0"/>
    <d v="1899-12-30T20:38:00"/>
    <d v="1899-12-30T21:19:00"/>
    <n v="10"/>
    <n v="100"/>
    <x v="0"/>
    <x v="8"/>
  </r>
  <r>
    <s v="ST211"/>
    <x v="9"/>
    <d v="2025-10-15T00:00:00"/>
    <x v="2"/>
    <d v="1899-12-30T18:05:00"/>
    <d v="1899-12-30T20:04:00"/>
    <n v="97.2"/>
    <n v="972"/>
    <x v="1"/>
    <x v="9"/>
  </r>
  <r>
    <s v="ST212"/>
    <x v="1"/>
    <d v="2025-10-15T00:00:00"/>
    <x v="1"/>
    <d v="1899-12-30T16:57:00"/>
    <d v="1899-12-30T18:20:00"/>
    <n v="38.200000000000003"/>
    <n v="382"/>
    <x v="2"/>
    <x v="12"/>
  </r>
  <r>
    <s v="ST213"/>
    <x v="0"/>
    <d v="2025-10-15T00:00:00"/>
    <x v="3"/>
    <d v="1899-12-30T16:49:00"/>
    <d v="1899-12-30T17:23:00"/>
    <n v="65.3"/>
    <n v="653"/>
    <x v="2"/>
    <x v="12"/>
  </r>
  <r>
    <s v="ST214"/>
    <x v="5"/>
    <d v="2025-10-15T00:00:00"/>
    <x v="1"/>
    <d v="1899-12-30T12:26:00"/>
    <d v="1899-12-30T13:09:00"/>
    <n v="31.3"/>
    <n v="313"/>
    <x v="2"/>
    <x v="0"/>
  </r>
  <r>
    <s v="ST215"/>
    <x v="6"/>
    <d v="2025-10-15T00:00:00"/>
    <x v="0"/>
    <d v="1899-12-30T18:21:00"/>
    <d v="1899-12-30T19:09:00"/>
    <n v="95.8"/>
    <n v="958"/>
    <x v="1"/>
    <x v="9"/>
  </r>
  <r>
    <s v="ST216"/>
    <x v="1"/>
    <d v="2025-10-15T00:00:00"/>
    <x v="0"/>
    <d v="1899-12-30T11:50:00"/>
    <d v="1899-12-30T13:33:00"/>
    <n v="13.2"/>
    <n v="132"/>
    <x v="1"/>
    <x v="2"/>
  </r>
  <r>
    <s v="ST217"/>
    <x v="3"/>
    <d v="2025-10-15T00:00:00"/>
    <x v="3"/>
    <d v="1899-12-30T20:48:00"/>
    <d v="1899-12-30T22:17:00"/>
    <n v="88.8"/>
    <n v="888"/>
    <x v="1"/>
    <x v="8"/>
  </r>
  <r>
    <s v="ST218"/>
    <x v="6"/>
    <d v="2025-10-15T00:00:00"/>
    <x v="3"/>
    <d v="1899-12-30T07:27:00"/>
    <d v="1899-12-30T08:28:00"/>
    <n v="66.2"/>
    <n v="662"/>
    <x v="0"/>
    <x v="11"/>
  </r>
  <r>
    <s v="ST219"/>
    <x v="8"/>
    <d v="2025-10-15T00:00:00"/>
    <x v="3"/>
    <d v="1899-12-30T12:10:00"/>
    <d v="1899-12-30T13:00:00"/>
    <n v="96.2"/>
    <n v="962"/>
    <x v="1"/>
    <x v="0"/>
  </r>
  <r>
    <s v="ST220"/>
    <x v="1"/>
    <d v="2025-10-15T00:00:00"/>
    <x v="0"/>
    <d v="1899-12-30T18:48:00"/>
    <d v="1899-12-30T20:57:00"/>
    <n v="96.8"/>
    <n v="968"/>
    <x v="0"/>
    <x v="9"/>
  </r>
  <r>
    <s v="ST221"/>
    <x v="3"/>
    <d v="2025-10-15T00:00:00"/>
    <x v="0"/>
    <d v="1899-12-30T16:22:00"/>
    <d v="1899-12-30T18:09:00"/>
    <n v="14.3"/>
    <n v="143"/>
    <x v="0"/>
    <x v="12"/>
  </r>
  <r>
    <s v="ST222"/>
    <x v="6"/>
    <d v="2025-10-15T00:00:00"/>
    <x v="0"/>
    <d v="1899-12-30T17:55:00"/>
    <d v="1899-12-30T20:12:00"/>
    <n v="37.6"/>
    <n v="376"/>
    <x v="1"/>
    <x v="7"/>
  </r>
  <r>
    <s v="ST223"/>
    <x v="8"/>
    <d v="2025-10-15T00:00:00"/>
    <x v="0"/>
    <d v="1899-12-30T14:45:00"/>
    <d v="1899-12-30T17:10:00"/>
    <n v="30.5"/>
    <n v="305"/>
    <x v="1"/>
    <x v="10"/>
  </r>
  <r>
    <s v="ST224"/>
    <x v="0"/>
    <d v="2025-10-15T00:00:00"/>
    <x v="3"/>
    <d v="1899-12-30T19:29:00"/>
    <d v="1899-12-30T22:13:00"/>
    <n v="55.2"/>
    <n v="552"/>
    <x v="1"/>
    <x v="13"/>
  </r>
  <r>
    <s v="ST225"/>
    <x v="9"/>
    <d v="2025-10-15T00:00:00"/>
    <x v="1"/>
    <d v="1899-12-30T07:56:00"/>
    <d v="1899-12-30T09:41:00"/>
    <n v="25.3"/>
    <n v="253"/>
    <x v="0"/>
    <x v="11"/>
  </r>
  <r>
    <s v="ST226"/>
    <x v="1"/>
    <d v="2025-10-15T00:00:00"/>
    <x v="2"/>
    <d v="1899-12-30T13:41:00"/>
    <d v="1899-12-30T16:34:00"/>
    <n v="98.7"/>
    <n v="987"/>
    <x v="1"/>
    <x v="14"/>
  </r>
  <r>
    <s v="ST227"/>
    <x v="8"/>
    <d v="2025-10-15T00:00:00"/>
    <x v="3"/>
    <d v="1899-12-30T12:21:00"/>
    <d v="1899-12-30T14:06:00"/>
    <n v="47.4"/>
    <n v="474"/>
    <x v="2"/>
    <x v="0"/>
  </r>
  <r>
    <s v="ST228"/>
    <x v="9"/>
    <d v="2025-10-15T00:00:00"/>
    <x v="2"/>
    <d v="1899-12-30T11:40:00"/>
    <d v="1899-12-30T14:36:00"/>
    <n v="63.7"/>
    <n v="637"/>
    <x v="2"/>
    <x v="2"/>
  </r>
  <r>
    <s v="ST229"/>
    <x v="3"/>
    <d v="2025-10-15T00:00:00"/>
    <x v="0"/>
    <d v="1899-12-30T20:38:00"/>
    <d v="1899-12-30T23:08:00"/>
    <n v="41.7"/>
    <n v="417"/>
    <x v="1"/>
    <x v="8"/>
  </r>
  <r>
    <s v="ST230"/>
    <x v="3"/>
    <d v="2025-10-15T00:00:00"/>
    <x v="0"/>
    <d v="1899-12-30T07:59:00"/>
    <d v="1899-12-30T10:30:00"/>
    <n v="96.6"/>
    <n v="966"/>
    <x v="2"/>
    <x v="11"/>
  </r>
  <r>
    <s v="ST231"/>
    <x v="0"/>
    <d v="2025-10-15T00:00:00"/>
    <x v="1"/>
    <d v="1899-12-30T06:51:00"/>
    <d v="1899-12-30T09:19:00"/>
    <n v="78.3"/>
    <n v="783"/>
    <x v="0"/>
    <x v="5"/>
  </r>
  <r>
    <s v="ST232"/>
    <x v="0"/>
    <d v="2025-10-15T00:00:00"/>
    <x v="1"/>
    <d v="1899-12-30T18:26:00"/>
    <d v="1899-12-30T20:57:00"/>
    <n v="70.8"/>
    <n v="708"/>
    <x v="1"/>
    <x v="9"/>
  </r>
  <r>
    <s v="ST233"/>
    <x v="4"/>
    <d v="2025-10-15T00:00:00"/>
    <x v="2"/>
    <d v="1899-12-30T19:19:00"/>
    <d v="1899-12-30T22:00:00"/>
    <n v="82.6"/>
    <n v="826"/>
    <x v="0"/>
    <x v="13"/>
  </r>
  <r>
    <s v="ST234"/>
    <x v="0"/>
    <d v="2025-10-15T00:00:00"/>
    <x v="0"/>
    <d v="1899-12-30T20:51:00"/>
    <d v="1899-12-30T21:51:00"/>
    <n v="18.399999999999999"/>
    <n v="184"/>
    <x v="2"/>
    <x v="8"/>
  </r>
  <r>
    <s v="ST235"/>
    <x v="3"/>
    <d v="2025-10-15T00:00:00"/>
    <x v="1"/>
    <d v="1899-12-30T06:28:00"/>
    <d v="1899-12-30T09:27:00"/>
    <n v="77.900000000000006"/>
    <n v="779"/>
    <x v="1"/>
    <x v="5"/>
  </r>
  <r>
    <s v="ST236"/>
    <x v="4"/>
    <d v="2025-10-15T00:00:00"/>
    <x v="3"/>
    <d v="1899-12-30T15:38:00"/>
    <d v="1899-12-30T16:54:00"/>
    <n v="95.3"/>
    <n v="953"/>
    <x v="1"/>
    <x v="1"/>
  </r>
  <r>
    <s v="ST237"/>
    <x v="9"/>
    <d v="2025-10-15T00:00:00"/>
    <x v="0"/>
    <d v="1899-12-30T15:23:00"/>
    <d v="1899-12-30T17:43:00"/>
    <n v="58.3"/>
    <n v="583"/>
    <x v="1"/>
    <x v="1"/>
  </r>
  <r>
    <s v="ST238"/>
    <x v="8"/>
    <d v="2025-10-15T00:00:00"/>
    <x v="2"/>
    <d v="1899-12-30T14:38:00"/>
    <d v="1899-12-30T17:02:00"/>
    <n v="53.8"/>
    <n v="538"/>
    <x v="2"/>
    <x v="10"/>
  </r>
  <r>
    <s v="ST239"/>
    <x v="6"/>
    <d v="2025-10-15T00:00:00"/>
    <x v="2"/>
    <d v="1899-12-30T13:28:00"/>
    <d v="1899-12-30T15:54:00"/>
    <n v="36"/>
    <n v="360"/>
    <x v="0"/>
    <x v="14"/>
  </r>
  <r>
    <s v="ST240"/>
    <x v="6"/>
    <d v="2025-10-15T00:00:00"/>
    <x v="0"/>
    <d v="1899-12-30T10:00:00"/>
    <d v="1899-12-30T12:48:00"/>
    <n v="44.4"/>
    <n v="444"/>
    <x v="2"/>
    <x v="3"/>
  </r>
  <r>
    <s v="ST241"/>
    <x v="1"/>
    <d v="2025-10-15T00:00:00"/>
    <x v="0"/>
    <d v="1899-12-30T09:07:00"/>
    <d v="1899-12-30T11:13:00"/>
    <n v="70.7"/>
    <n v="707"/>
    <x v="0"/>
    <x v="6"/>
  </r>
  <r>
    <s v="ST242"/>
    <x v="8"/>
    <d v="2025-10-15T00:00:00"/>
    <x v="3"/>
    <d v="1899-12-30T17:25:00"/>
    <d v="1899-12-30T19:41:00"/>
    <n v="34.299999999999997"/>
    <n v="343"/>
    <x v="1"/>
    <x v="7"/>
  </r>
  <r>
    <s v="ST243"/>
    <x v="5"/>
    <d v="2025-10-15T00:00:00"/>
    <x v="0"/>
    <d v="1899-12-30T08:03:00"/>
    <d v="1899-12-30T10:39:00"/>
    <n v="99.5"/>
    <n v="995"/>
    <x v="0"/>
    <x v="4"/>
  </r>
  <r>
    <s v="ST244"/>
    <x v="4"/>
    <d v="2025-10-15T00:00:00"/>
    <x v="2"/>
    <d v="1899-12-30T16:40:00"/>
    <d v="1899-12-30T19:18:00"/>
    <n v="20.100000000000001"/>
    <n v="201"/>
    <x v="1"/>
    <x v="12"/>
  </r>
  <r>
    <s v="ST245"/>
    <x v="0"/>
    <d v="2025-10-15T00:00:00"/>
    <x v="1"/>
    <d v="1899-12-30T12:31:00"/>
    <d v="1899-12-30T14:33:00"/>
    <n v="34.6"/>
    <n v="346"/>
    <x v="0"/>
    <x v="0"/>
  </r>
  <r>
    <s v="ST246"/>
    <x v="3"/>
    <d v="2025-10-15T00:00:00"/>
    <x v="1"/>
    <d v="1899-12-30T06:12:00"/>
    <d v="1899-12-30T07:44:00"/>
    <n v="24.5"/>
    <n v="245"/>
    <x v="0"/>
    <x v="5"/>
  </r>
  <r>
    <s v="ST247"/>
    <x v="3"/>
    <d v="2025-10-15T00:00:00"/>
    <x v="2"/>
    <d v="1899-12-30T19:04:00"/>
    <d v="1899-12-30T20:00:00"/>
    <n v="97.2"/>
    <n v="972"/>
    <x v="1"/>
    <x v="13"/>
  </r>
  <r>
    <s v="ST248"/>
    <x v="5"/>
    <d v="2025-10-15T00:00:00"/>
    <x v="0"/>
    <d v="1899-12-30T07:32:00"/>
    <d v="1899-12-30T09:35:00"/>
    <n v="84.4"/>
    <n v="844"/>
    <x v="0"/>
    <x v="11"/>
  </r>
  <r>
    <s v="ST249"/>
    <x v="9"/>
    <d v="2025-10-15T00:00:00"/>
    <x v="2"/>
    <d v="1899-12-30T08:27:00"/>
    <d v="1899-12-30T10:29:00"/>
    <n v="36"/>
    <n v="360"/>
    <x v="0"/>
    <x v="4"/>
  </r>
  <r>
    <s v="ST250"/>
    <x v="1"/>
    <d v="2025-10-15T00:00:00"/>
    <x v="2"/>
    <d v="1899-12-30T10:21:00"/>
    <d v="1899-12-30T12:40:00"/>
    <n v="91.2"/>
    <n v="912"/>
    <x v="0"/>
    <x v="3"/>
  </r>
  <r>
    <s v="ST251"/>
    <x v="1"/>
    <d v="2025-10-15T00:00:00"/>
    <x v="0"/>
    <d v="1899-12-30T14:56:00"/>
    <d v="1899-12-30T17:00:00"/>
    <n v="12.6"/>
    <n v="126"/>
    <x v="2"/>
    <x v="10"/>
  </r>
  <r>
    <s v="ST252"/>
    <x v="3"/>
    <d v="2025-10-15T00:00:00"/>
    <x v="3"/>
    <d v="1899-12-30T13:11:00"/>
    <d v="1899-12-30T13:45:00"/>
    <n v="42.5"/>
    <n v="425"/>
    <x v="0"/>
    <x v="14"/>
  </r>
  <r>
    <s v="ST253"/>
    <x v="0"/>
    <d v="2025-10-15T00:00:00"/>
    <x v="0"/>
    <d v="1899-12-30T13:37:00"/>
    <d v="1899-12-30T14:43:00"/>
    <n v="12.5"/>
    <n v="125"/>
    <x v="2"/>
    <x v="14"/>
  </r>
  <r>
    <s v="ST254"/>
    <x v="5"/>
    <d v="2025-10-15T00:00:00"/>
    <x v="3"/>
    <d v="1899-12-30T14:54:00"/>
    <d v="1899-12-30T16:55:00"/>
    <n v="78"/>
    <n v="780"/>
    <x v="0"/>
    <x v="10"/>
  </r>
  <r>
    <s v="ST255"/>
    <x v="8"/>
    <d v="2025-10-15T00:00:00"/>
    <x v="1"/>
    <d v="1899-12-30T08:07:00"/>
    <d v="1899-12-30T09:49:00"/>
    <n v="31.7"/>
    <n v="317"/>
    <x v="0"/>
    <x v="4"/>
  </r>
  <r>
    <s v="ST256"/>
    <x v="4"/>
    <d v="2025-10-15T00:00:00"/>
    <x v="0"/>
    <d v="1899-12-30T10:28:00"/>
    <d v="1899-12-30T12:11:00"/>
    <n v="81.5"/>
    <n v="815"/>
    <x v="0"/>
    <x v="3"/>
  </r>
  <r>
    <s v="ST257"/>
    <x v="6"/>
    <d v="2025-10-15T00:00:00"/>
    <x v="3"/>
    <d v="1899-12-30T13:54:00"/>
    <d v="1899-12-30T14:44:00"/>
    <n v="57"/>
    <n v="570"/>
    <x v="1"/>
    <x v="14"/>
  </r>
  <r>
    <s v="ST258"/>
    <x v="6"/>
    <d v="2025-10-15T00:00:00"/>
    <x v="2"/>
    <d v="1899-12-30T08:56:00"/>
    <d v="1899-12-30T11:32:00"/>
    <n v="43.2"/>
    <n v="432"/>
    <x v="1"/>
    <x v="4"/>
  </r>
  <r>
    <s v="ST259"/>
    <x v="5"/>
    <d v="2025-10-15T00:00:00"/>
    <x v="2"/>
    <d v="1899-12-30T14:57:00"/>
    <d v="1899-12-30T15:44:00"/>
    <n v="79.2"/>
    <n v="792"/>
    <x v="1"/>
    <x v="10"/>
  </r>
  <r>
    <s v="ST260"/>
    <x v="1"/>
    <d v="2025-10-15T00:00:00"/>
    <x v="1"/>
    <d v="1899-12-30T15:48:00"/>
    <d v="1899-12-30T16:32:00"/>
    <n v="24.3"/>
    <n v="243"/>
    <x v="1"/>
    <x v="1"/>
  </r>
  <r>
    <s v="ST261"/>
    <x v="1"/>
    <d v="2025-10-15T00:00:00"/>
    <x v="3"/>
    <d v="1899-12-30T11:30:00"/>
    <d v="1899-12-30T13:21:00"/>
    <n v="27.7"/>
    <n v="277"/>
    <x v="1"/>
    <x v="2"/>
  </r>
  <r>
    <s v="ST262"/>
    <x v="9"/>
    <d v="2025-10-15T00:00:00"/>
    <x v="0"/>
    <d v="1899-12-30T19:58:00"/>
    <d v="1899-12-30T22:11:00"/>
    <n v="59.1"/>
    <n v="591"/>
    <x v="2"/>
    <x v="13"/>
  </r>
  <r>
    <s v="ST263"/>
    <x v="4"/>
    <d v="2025-10-15T00:00:00"/>
    <x v="3"/>
    <d v="1899-12-30T15:26:00"/>
    <d v="1899-12-30T17:23:00"/>
    <n v="37.700000000000003"/>
    <n v="377"/>
    <x v="2"/>
    <x v="1"/>
  </r>
  <r>
    <s v="ST264"/>
    <x v="5"/>
    <d v="2025-10-15T00:00:00"/>
    <x v="0"/>
    <d v="1899-12-30T14:28:00"/>
    <d v="1899-12-30T16:00:00"/>
    <n v="25.1"/>
    <n v="251"/>
    <x v="2"/>
    <x v="10"/>
  </r>
  <r>
    <s v="ST265"/>
    <x v="9"/>
    <d v="2025-10-15T00:00:00"/>
    <x v="1"/>
    <d v="1899-12-30T13:22:00"/>
    <d v="1899-12-30T13:59:00"/>
    <n v="41.8"/>
    <n v="418"/>
    <x v="2"/>
    <x v="14"/>
  </r>
  <r>
    <s v="ST266"/>
    <x v="2"/>
    <d v="2025-10-15T00:00:00"/>
    <x v="0"/>
    <d v="1899-12-30T16:32:00"/>
    <d v="1899-12-30T19:25:00"/>
    <n v="18.8"/>
    <n v="188"/>
    <x v="2"/>
    <x v="12"/>
  </r>
  <r>
    <s v="ST267"/>
    <x v="5"/>
    <d v="2025-10-15T00:00:00"/>
    <x v="2"/>
    <d v="1899-12-30T08:56:00"/>
    <d v="1899-12-30T11:48:00"/>
    <n v="13"/>
    <n v="130"/>
    <x v="2"/>
    <x v="4"/>
  </r>
  <r>
    <s v="ST268"/>
    <x v="3"/>
    <d v="2025-10-15T00:00:00"/>
    <x v="2"/>
    <d v="1899-12-30T12:41:00"/>
    <d v="1899-12-30T15:31:00"/>
    <n v="58.4"/>
    <n v="584"/>
    <x v="1"/>
    <x v="0"/>
  </r>
  <r>
    <s v="ST269"/>
    <x v="9"/>
    <d v="2025-10-15T00:00:00"/>
    <x v="0"/>
    <d v="1899-12-30T16:17:00"/>
    <d v="1899-12-30T18:21:00"/>
    <n v="11.8"/>
    <n v="118"/>
    <x v="1"/>
    <x v="12"/>
  </r>
  <r>
    <s v="ST270"/>
    <x v="5"/>
    <d v="2025-10-15T00:00:00"/>
    <x v="2"/>
    <d v="1899-12-30T10:27:00"/>
    <d v="1899-12-30T12:26:00"/>
    <n v="29.4"/>
    <n v="294"/>
    <x v="2"/>
    <x v="3"/>
  </r>
  <r>
    <s v="ST271"/>
    <x v="4"/>
    <d v="2025-10-15T00:00:00"/>
    <x v="1"/>
    <d v="1899-12-30T07:53:00"/>
    <d v="1899-12-30T09:33:00"/>
    <n v="77.2"/>
    <n v="772"/>
    <x v="0"/>
    <x v="11"/>
  </r>
  <r>
    <s v="ST272"/>
    <x v="1"/>
    <d v="2025-10-15T00:00:00"/>
    <x v="0"/>
    <d v="1899-12-30T18:19:00"/>
    <d v="1899-12-30T19:33:00"/>
    <n v="50"/>
    <n v="500"/>
    <x v="2"/>
    <x v="9"/>
  </r>
  <r>
    <s v="ST273"/>
    <x v="3"/>
    <d v="2025-10-15T00:00:00"/>
    <x v="2"/>
    <d v="1899-12-30T18:26:00"/>
    <d v="1899-12-30T19:44:00"/>
    <n v="74.099999999999994"/>
    <n v="741"/>
    <x v="1"/>
    <x v="9"/>
  </r>
  <r>
    <s v="ST274"/>
    <x v="2"/>
    <d v="2025-10-15T00:00:00"/>
    <x v="0"/>
    <d v="1899-12-30T08:31:00"/>
    <d v="1899-12-30T10:19:00"/>
    <n v="16.2"/>
    <n v="162"/>
    <x v="0"/>
    <x v="4"/>
  </r>
  <r>
    <s v="ST275"/>
    <x v="9"/>
    <d v="2025-10-15T00:00:00"/>
    <x v="3"/>
    <d v="1899-12-30T20:33:00"/>
    <d v="1899-12-30T22:19:00"/>
    <n v="18.100000000000001"/>
    <n v="181"/>
    <x v="2"/>
    <x v="8"/>
  </r>
  <r>
    <s v="ST276"/>
    <x v="0"/>
    <d v="2025-10-15T00:00:00"/>
    <x v="1"/>
    <d v="1899-12-30T17:56:00"/>
    <d v="1899-12-30T18:54:00"/>
    <n v="55.5"/>
    <n v="555"/>
    <x v="1"/>
    <x v="7"/>
  </r>
  <r>
    <s v="ST277"/>
    <x v="5"/>
    <d v="2025-10-15T00:00:00"/>
    <x v="3"/>
    <d v="1899-12-30T18:57:00"/>
    <d v="1899-12-30T21:15:00"/>
    <n v="17.899999999999999"/>
    <n v="179"/>
    <x v="1"/>
    <x v="9"/>
  </r>
  <r>
    <s v="ST278"/>
    <x v="7"/>
    <d v="2025-10-15T00:00:00"/>
    <x v="0"/>
    <d v="1899-12-30T14:55:00"/>
    <d v="1899-12-30T17:16:00"/>
    <n v="44"/>
    <n v="440"/>
    <x v="0"/>
    <x v="10"/>
  </r>
  <r>
    <s v="ST279"/>
    <x v="7"/>
    <d v="2025-10-15T00:00:00"/>
    <x v="0"/>
    <d v="1899-12-30T16:41:00"/>
    <d v="1899-12-30T17:32:00"/>
    <n v="96.5"/>
    <n v="965"/>
    <x v="1"/>
    <x v="12"/>
  </r>
  <r>
    <s v="ST280"/>
    <x v="5"/>
    <d v="2025-10-15T00:00:00"/>
    <x v="1"/>
    <d v="1899-12-30T06:13:00"/>
    <d v="1899-12-30T08:11:00"/>
    <n v="11.6"/>
    <n v="116"/>
    <x v="2"/>
    <x v="5"/>
  </r>
  <r>
    <s v="ST281"/>
    <x v="9"/>
    <d v="2025-10-15T00:00:00"/>
    <x v="0"/>
    <d v="1899-12-30T19:47:00"/>
    <d v="1899-12-30T22:00:00"/>
    <n v="13.3"/>
    <n v="133"/>
    <x v="2"/>
    <x v="13"/>
  </r>
  <r>
    <s v="ST282"/>
    <x v="8"/>
    <d v="2025-10-15T00:00:00"/>
    <x v="2"/>
    <d v="1899-12-30T19:20:00"/>
    <d v="1899-12-30T22:04:00"/>
    <n v="75"/>
    <n v="750"/>
    <x v="0"/>
    <x v="13"/>
  </r>
  <r>
    <s v="ST283"/>
    <x v="5"/>
    <d v="2025-10-15T00:00:00"/>
    <x v="1"/>
    <d v="1899-12-30T16:00:00"/>
    <d v="1899-12-30T16:57:00"/>
    <n v="35.700000000000003"/>
    <n v="357"/>
    <x v="0"/>
    <x v="12"/>
  </r>
  <r>
    <s v="ST284"/>
    <x v="5"/>
    <d v="2025-10-15T00:00:00"/>
    <x v="3"/>
    <d v="1899-12-30T14:12:00"/>
    <d v="1899-12-30T14:51:00"/>
    <n v="75.5"/>
    <n v="755"/>
    <x v="1"/>
    <x v="10"/>
  </r>
  <r>
    <s v="ST285"/>
    <x v="0"/>
    <d v="2025-10-15T00:00:00"/>
    <x v="1"/>
    <d v="1899-12-30T08:24:00"/>
    <d v="1899-12-30T11:01:00"/>
    <n v="15"/>
    <n v="150"/>
    <x v="2"/>
    <x v="4"/>
  </r>
  <r>
    <s v="ST286"/>
    <x v="9"/>
    <d v="2025-10-15T00:00:00"/>
    <x v="1"/>
    <d v="1899-12-30T14:22:00"/>
    <d v="1899-12-30T16:24:00"/>
    <n v="26.7"/>
    <n v="267"/>
    <x v="0"/>
    <x v="10"/>
  </r>
  <r>
    <s v="ST287"/>
    <x v="2"/>
    <d v="2025-10-15T00:00:00"/>
    <x v="0"/>
    <d v="1899-12-30T17:17:00"/>
    <d v="1899-12-30T20:12:00"/>
    <n v="67.599999999999994"/>
    <n v="676"/>
    <x v="0"/>
    <x v="7"/>
  </r>
  <r>
    <s v="ST288"/>
    <x v="6"/>
    <d v="2025-10-15T00:00:00"/>
    <x v="2"/>
    <d v="1899-12-30T12:14:00"/>
    <d v="1899-12-30T13:06:00"/>
    <n v="72.3"/>
    <n v="723"/>
    <x v="1"/>
    <x v="0"/>
  </r>
  <r>
    <s v="ST289"/>
    <x v="2"/>
    <d v="2025-10-15T00:00:00"/>
    <x v="0"/>
    <d v="1899-12-30T07:29:00"/>
    <d v="1899-12-30T09:06:00"/>
    <n v="13.4"/>
    <n v="134"/>
    <x v="2"/>
    <x v="11"/>
  </r>
  <r>
    <s v="ST290"/>
    <x v="3"/>
    <d v="2025-10-15T00:00:00"/>
    <x v="1"/>
    <d v="1899-12-30T07:26:00"/>
    <d v="1899-12-30T08:45:00"/>
    <n v="27.9"/>
    <n v="279"/>
    <x v="0"/>
    <x v="11"/>
  </r>
  <r>
    <s v="ST291"/>
    <x v="6"/>
    <d v="2025-10-15T00:00:00"/>
    <x v="1"/>
    <d v="1899-12-30T12:19:00"/>
    <d v="1899-12-30T13:21:00"/>
    <n v="84.4"/>
    <n v="844"/>
    <x v="1"/>
    <x v="0"/>
  </r>
  <r>
    <s v="ST292"/>
    <x v="8"/>
    <d v="2025-10-15T00:00:00"/>
    <x v="1"/>
    <d v="1899-12-30T18:05:00"/>
    <d v="1899-12-30T18:56:00"/>
    <n v="62.8"/>
    <n v="628"/>
    <x v="1"/>
    <x v="9"/>
  </r>
  <r>
    <s v="ST293"/>
    <x v="2"/>
    <d v="2025-10-15T00:00:00"/>
    <x v="2"/>
    <d v="1899-12-30T18:35:00"/>
    <d v="1899-12-30T19:22:00"/>
    <n v="80.7"/>
    <n v="807"/>
    <x v="1"/>
    <x v="9"/>
  </r>
  <r>
    <s v="ST294"/>
    <x v="1"/>
    <d v="2025-10-15T00:00:00"/>
    <x v="0"/>
    <d v="1899-12-30T19:39:00"/>
    <d v="1899-12-30T21:15:00"/>
    <n v="66.599999999999994"/>
    <n v="666"/>
    <x v="2"/>
    <x v="13"/>
  </r>
  <r>
    <s v="ST295"/>
    <x v="0"/>
    <d v="2025-10-15T00:00:00"/>
    <x v="1"/>
    <d v="1899-12-30T19:01:00"/>
    <d v="1899-12-30T19:31:00"/>
    <n v="81.900000000000006"/>
    <n v="819"/>
    <x v="0"/>
    <x v="13"/>
  </r>
  <r>
    <s v="ST296"/>
    <x v="5"/>
    <d v="2025-10-15T00:00:00"/>
    <x v="3"/>
    <d v="1899-12-30T15:21:00"/>
    <d v="1899-12-30T17:28:00"/>
    <n v="85.4"/>
    <n v="854"/>
    <x v="1"/>
    <x v="1"/>
  </r>
  <r>
    <s v="ST297"/>
    <x v="5"/>
    <d v="2025-10-15T00:00:00"/>
    <x v="0"/>
    <d v="1899-12-30T14:46:00"/>
    <d v="1899-12-30T17:30:00"/>
    <n v="89.4"/>
    <n v="894"/>
    <x v="1"/>
    <x v="10"/>
  </r>
  <r>
    <s v="ST298"/>
    <x v="6"/>
    <d v="2025-10-15T00:00:00"/>
    <x v="2"/>
    <d v="1899-12-30T11:36:00"/>
    <d v="1899-12-30T13:45:00"/>
    <n v="47.4"/>
    <n v="474"/>
    <x v="0"/>
    <x v="2"/>
  </r>
  <r>
    <s v="ST299"/>
    <x v="4"/>
    <d v="2025-10-15T00:00:00"/>
    <x v="1"/>
    <d v="1899-12-30T11:39:00"/>
    <d v="1899-12-30T12:39:00"/>
    <n v="72.900000000000006"/>
    <n v="729"/>
    <x v="0"/>
    <x v="2"/>
  </r>
  <r>
    <s v="ST300"/>
    <x v="9"/>
    <d v="2025-10-15T00:00:00"/>
    <x v="0"/>
    <d v="1899-12-30T10:51:00"/>
    <d v="1899-12-30T11:45:00"/>
    <n v="75.900000000000006"/>
    <n v="759"/>
    <x v="2"/>
    <x v="3"/>
  </r>
  <r>
    <s v="ST301"/>
    <x v="5"/>
    <d v="2025-10-15T00:00:00"/>
    <x v="2"/>
    <d v="1899-12-30T15:01:00"/>
    <d v="1899-12-30T16:23:00"/>
    <n v="45.2"/>
    <n v="452"/>
    <x v="2"/>
    <x v="1"/>
  </r>
  <r>
    <s v="ST302"/>
    <x v="9"/>
    <d v="2025-10-15T00:00:00"/>
    <x v="3"/>
    <d v="1899-12-30T13:32:00"/>
    <d v="1899-12-30T14:21:00"/>
    <n v="98.9"/>
    <n v="989"/>
    <x v="2"/>
    <x v="14"/>
  </r>
  <r>
    <s v="ST303"/>
    <x v="4"/>
    <d v="2025-10-15T00:00:00"/>
    <x v="0"/>
    <d v="1899-12-30T15:28:00"/>
    <d v="1899-12-30T17:19:00"/>
    <n v="50.1"/>
    <n v="501"/>
    <x v="2"/>
    <x v="1"/>
  </r>
  <r>
    <s v="ST304"/>
    <x v="5"/>
    <d v="2025-10-15T00:00:00"/>
    <x v="2"/>
    <d v="1899-12-30T12:51:00"/>
    <d v="1899-12-30T14:36:00"/>
    <n v="32.1"/>
    <n v="321"/>
    <x v="2"/>
    <x v="0"/>
  </r>
  <r>
    <s v="ST305"/>
    <x v="8"/>
    <d v="2025-10-15T00:00:00"/>
    <x v="3"/>
    <d v="1899-12-30T16:21:00"/>
    <d v="1899-12-30T17:03:00"/>
    <n v="24.4"/>
    <n v="244"/>
    <x v="2"/>
    <x v="12"/>
  </r>
  <r>
    <s v="ST306"/>
    <x v="0"/>
    <d v="2025-10-15T00:00:00"/>
    <x v="3"/>
    <d v="1899-12-30T20:13:00"/>
    <d v="1899-12-30T23:00:00"/>
    <n v="75"/>
    <n v="750"/>
    <x v="1"/>
    <x v="8"/>
  </r>
  <r>
    <s v="ST307"/>
    <x v="4"/>
    <d v="2025-10-15T00:00:00"/>
    <x v="3"/>
    <d v="1899-12-30T06:49:00"/>
    <d v="1899-12-30T09:11:00"/>
    <n v="30"/>
    <n v="300"/>
    <x v="2"/>
    <x v="5"/>
  </r>
  <r>
    <s v="ST308"/>
    <x v="9"/>
    <d v="2025-10-15T00:00:00"/>
    <x v="2"/>
    <d v="1899-12-30T17:56:00"/>
    <d v="1899-12-30T20:26:00"/>
    <n v="7"/>
    <n v="70"/>
    <x v="1"/>
    <x v="7"/>
  </r>
  <r>
    <s v="ST309"/>
    <x v="7"/>
    <d v="2025-10-15T00:00:00"/>
    <x v="1"/>
    <d v="1899-12-30T09:45:00"/>
    <d v="1899-12-30T10:28:00"/>
    <n v="44.4"/>
    <n v="444"/>
    <x v="1"/>
    <x v="6"/>
  </r>
  <r>
    <s v="ST310"/>
    <x v="8"/>
    <d v="2025-10-15T00:00:00"/>
    <x v="0"/>
    <d v="1899-12-30T17:57:00"/>
    <d v="1899-12-30T19:48:00"/>
    <n v="62.8"/>
    <n v="628"/>
    <x v="1"/>
    <x v="7"/>
  </r>
  <r>
    <s v="ST311"/>
    <x v="2"/>
    <d v="2025-10-15T00:00:00"/>
    <x v="0"/>
    <d v="1899-12-30T11:33:00"/>
    <d v="1899-12-30T14:12:00"/>
    <n v="37.5"/>
    <n v="375"/>
    <x v="1"/>
    <x v="2"/>
  </r>
  <r>
    <s v="ST312"/>
    <x v="8"/>
    <d v="2025-10-15T00:00:00"/>
    <x v="1"/>
    <d v="1899-12-30T18:23:00"/>
    <d v="1899-12-30T20:39:00"/>
    <n v="82.8"/>
    <n v="828"/>
    <x v="2"/>
    <x v="9"/>
  </r>
  <r>
    <s v="ST313"/>
    <x v="4"/>
    <d v="2025-10-15T00:00:00"/>
    <x v="1"/>
    <d v="1899-12-30T07:11:00"/>
    <d v="1899-12-30T08:56:00"/>
    <n v="99.2"/>
    <n v="992"/>
    <x v="0"/>
    <x v="11"/>
  </r>
  <r>
    <s v="ST314"/>
    <x v="1"/>
    <d v="2025-10-15T00:00:00"/>
    <x v="3"/>
    <d v="1899-12-30T16:52:00"/>
    <d v="1899-12-30T19:35:00"/>
    <n v="87.6"/>
    <n v="876"/>
    <x v="2"/>
    <x v="12"/>
  </r>
  <r>
    <s v="ST315"/>
    <x v="8"/>
    <d v="2025-10-15T00:00:00"/>
    <x v="1"/>
    <d v="1899-12-30T20:06:00"/>
    <d v="1899-12-30T22:54:00"/>
    <n v="51.2"/>
    <n v="512"/>
    <x v="1"/>
    <x v="8"/>
  </r>
  <r>
    <s v="ST316"/>
    <x v="4"/>
    <d v="2025-10-15T00:00:00"/>
    <x v="0"/>
    <d v="1899-12-30T08:42:00"/>
    <d v="1899-12-30T10:27:00"/>
    <n v="88"/>
    <n v="880"/>
    <x v="2"/>
    <x v="4"/>
  </r>
  <r>
    <s v="ST317"/>
    <x v="3"/>
    <d v="2025-10-15T00:00:00"/>
    <x v="0"/>
    <d v="1899-12-30T15:34:00"/>
    <d v="1899-12-30T17:45:00"/>
    <n v="25.8"/>
    <n v="258"/>
    <x v="0"/>
    <x v="1"/>
  </r>
  <r>
    <s v="ST318"/>
    <x v="4"/>
    <d v="2025-10-15T00:00:00"/>
    <x v="2"/>
    <d v="1899-12-30T16:19:00"/>
    <d v="1899-12-30T17:45:00"/>
    <n v="99.5"/>
    <n v="995"/>
    <x v="0"/>
    <x v="12"/>
  </r>
  <r>
    <s v="ST319"/>
    <x v="8"/>
    <d v="2025-10-15T00:00:00"/>
    <x v="0"/>
    <d v="1899-12-30T07:56:00"/>
    <d v="1899-12-30T09:04:00"/>
    <n v="65.8"/>
    <n v="658"/>
    <x v="1"/>
    <x v="11"/>
  </r>
  <r>
    <s v="ST320"/>
    <x v="5"/>
    <d v="2025-10-15T00:00:00"/>
    <x v="2"/>
    <d v="1899-12-30T10:25:00"/>
    <d v="1899-12-30T12:36:00"/>
    <n v="72.400000000000006"/>
    <n v="724"/>
    <x v="0"/>
    <x v="3"/>
  </r>
  <r>
    <s v="ST321"/>
    <x v="0"/>
    <d v="2025-10-15T00:00:00"/>
    <x v="3"/>
    <d v="1899-12-30T09:04:00"/>
    <d v="1899-12-30T09:54:00"/>
    <n v="93.6"/>
    <n v="936"/>
    <x v="1"/>
    <x v="6"/>
  </r>
  <r>
    <s v="ST322"/>
    <x v="5"/>
    <d v="2025-10-15T00:00:00"/>
    <x v="0"/>
    <d v="1899-12-30T17:24:00"/>
    <d v="1899-12-30T20:08:00"/>
    <n v="45.1"/>
    <n v="451"/>
    <x v="2"/>
    <x v="7"/>
  </r>
  <r>
    <s v="ST323"/>
    <x v="8"/>
    <d v="2025-10-15T00:00:00"/>
    <x v="0"/>
    <d v="1899-12-30T11:17:00"/>
    <d v="1899-12-30T12:57:00"/>
    <n v="64.900000000000006"/>
    <n v="649"/>
    <x v="0"/>
    <x v="2"/>
  </r>
  <r>
    <s v="ST324"/>
    <x v="0"/>
    <d v="2025-10-15T00:00:00"/>
    <x v="0"/>
    <d v="1899-12-30T10:16:00"/>
    <d v="1899-12-30T10:57:00"/>
    <n v="11.1"/>
    <n v="111"/>
    <x v="1"/>
    <x v="3"/>
  </r>
  <r>
    <s v="ST325"/>
    <x v="9"/>
    <d v="2025-10-15T00:00:00"/>
    <x v="1"/>
    <d v="1899-12-30T18:34:00"/>
    <d v="1899-12-30T19:13:00"/>
    <n v="19"/>
    <n v="190"/>
    <x v="2"/>
    <x v="9"/>
  </r>
  <r>
    <s v="ST326"/>
    <x v="8"/>
    <d v="2025-10-15T00:00:00"/>
    <x v="0"/>
    <d v="1899-12-30T14:40:00"/>
    <d v="1899-12-30T16:20:00"/>
    <n v="37.799999999999997"/>
    <n v="378"/>
    <x v="2"/>
    <x v="10"/>
  </r>
  <r>
    <s v="ST327"/>
    <x v="8"/>
    <d v="2025-10-15T00:00:00"/>
    <x v="1"/>
    <d v="1899-12-30T06:44:00"/>
    <d v="1899-12-30T07:43:00"/>
    <n v="34.700000000000003"/>
    <n v="347"/>
    <x v="2"/>
    <x v="5"/>
  </r>
  <r>
    <s v="ST328"/>
    <x v="5"/>
    <d v="2025-10-15T00:00:00"/>
    <x v="1"/>
    <d v="1899-12-30T09:49:00"/>
    <d v="1899-12-30T10:59:00"/>
    <n v="43.8"/>
    <n v="438"/>
    <x v="1"/>
    <x v="6"/>
  </r>
  <r>
    <s v="ST329"/>
    <x v="3"/>
    <d v="2025-10-15T00:00:00"/>
    <x v="3"/>
    <d v="1899-12-30T06:20:00"/>
    <d v="1899-12-30T07:38:00"/>
    <n v="65.3"/>
    <n v="653"/>
    <x v="1"/>
    <x v="5"/>
  </r>
  <r>
    <s v="ST330"/>
    <x v="0"/>
    <d v="2025-10-15T00:00:00"/>
    <x v="1"/>
    <d v="1899-12-30T06:34:00"/>
    <d v="1899-12-30T08:04:00"/>
    <n v="44.2"/>
    <n v="442"/>
    <x v="0"/>
    <x v="5"/>
  </r>
  <r>
    <s v="ST331"/>
    <x v="1"/>
    <d v="2025-10-15T00:00:00"/>
    <x v="2"/>
    <d v="1899-12-30T08:14:00"/>
    <d v="1899-12-30T10:00:00"/>
    <n v="78.099999999999994"/>
    <n v="781"/>
    <x v="0"/>
    <x v="4"/>
  </r>
  <r>
    <s v="ST332"/>
    <x v="0"/>
    <d v="2025-10-15T00:00:00"/>
    <x v="1"/>
    <d v="1899-12-30T16:25:00"/>
    <d v="1899-12-30T17:44:00"/>
    <n v="89.3"/>
    <n v="893"/>
    <x v="1"/>
    <x v="12"/>
  </r>
  <r>
    <s v="ST333"/>
    <x v="5"/>
    <d v="2025-10-15T00:00:00"/>
    <x v="3"/>
    <d v="1899-12-30T10:42:00"/>
    <d v="1899-12-30T13:28:00"/>
    <n v="30.3"/>
    <n v="303"/>
    <x v="0"/>
    <x v="3"/>
  </r>
  <r>
    <s v="ST334"/>
    <x v="1"/>
    <d v="2025-10-15T00:00:00"/>
    <x v="3"/>
    <d v="1899-12-30T15:03:00"/>
    <d v="1899-12-30T17:20:00"/>
    <n v="53.1"/>
    <n v="531"/>
    <x v="2"/>
    <x v="1"/>
  </r>
  <r>
    <s v="ST335"/>
    <x v="5"/>
    <d v="2025-10-15T00:00:00"/>
    <x v="3"/>
    <d v="1899-12-30T20:42:00"/>
    <d v="1899-12-30T23:10:00"/>
    <n v="90.1"/>
    <n v="901"/>
    <x v="1"/>
    <x v="8"/>
  </r>
  <r>
    <s v="ST336"/>
    <x v="3"/>
    <d v="2025-10-15T00:00:00"/>
    <x v="2"/>
    <d v="1899-12-30T17:53:00"/>
    <d v="1899-12-30T20:50:00"/>
    <n v="76.900000000000006"/>
    <n v="769"/>
    <x v="0"/>
    <x v="7"/>
  </r>
  <r>
    <s v="ST337"/>
    <x v="9"/>
    <d v="2025-10-15T00:00:00"/>
    <x v="0"/>
    <d v="1899-12-30T15:32:00"/>
    <d v="1899-12-30T17:30:00"/>
    <n v="27.1"/>
    <n v="271"/>
    <x v="0"/>
    <x v="1"/>
  </r>
  <r>
    <s v="ST338"/>
    <x v="1"/>
    <d v="2025-10-15T00:00:00"/>
    <x v="2"/>
    <d v="1899-12-30T18:24:00"/>
    <d v="1899-12-30T19:02:00"/>
    <n v="40.6"/>
    <n v="406"/>
    <x v="2"/>
    <x v="9"/>
  </r>
  <r>
    <s v="ST339"/>
    <x v="2"/>
    <d v="2025-10-15T00:00:00"/>
    <x v="0"/>
    <d v="1899-12-30T13:51:00"/>
    <d v="1899-12-30T15:38:00"/>
    <n v="90.8"/>
    <n v="908"/>
    <x v="0"/>
    <x v="14"/>
  </r>
  <r>
    <s v="ST340"/>
    <x v="7"/>
    <d v="2025-10-15T00:00:00"/>
    <x v="2"/>
    <d v="1899-12-30T13:39:00"/>
    <d v="1899-12-30T14:15:00"/>
    <n v="23.3"/>
    <n v="233"/>
    <x v="1"/>
    <x v="14"/>
  </r>
  <r>
    <s v="ST341"/>
    <x v="9"/>
    <d v="2025-10-15T00:00:00"/>
    <x v="0"/>
    <d v="1899-12-30T13:15:00"/>
    <d v="1899-12-30T15:07:00"/>
    <n v="8"/>
    <n v="80"/>
    <x v="2"/>
    <x v="14"/>
  </r>
  <r>
    <s v="ST342"/>
    <x v="4"/>
    <d v="2025-10-15T00:00:00"/>
    <x v="3"/>
    <d v="1899-12-30T18:32:00"/>
    <d v="1899-12-30T19:27:00"/>
    <n v="47"/>
    <n v="470"/>
    <x v="0"/>
    <x v="9"/>
  </r>
  <r>
    <s v="ST343"/>
    <x v="8"/>
    <d v="2025-10-15T00:00:00"/>
    <x v="2"/>
    <d v="1899-12-30T10:24:00"/>
    <d v="1899-12-30T11:34:00"/>
    <n v="78.400000000000006"/>
    <n v="784"/>
    <x v="0"/>
    <x v="3"/>
  </r>
  <r>
    <s v="ST344"/>
    <x v="1"/>
    <d v="2025-10-15T00:00:00"/>
    <x v="2"/>
    <d v="1899-12-30T07:21:00"/>
    <d v="1899-12-30T08:11:00"/>
    <n v="49.6"/>
    <n v="496"/>
    <x v="1"/>
    <x v="11"/>
  </r>
  <r>
    <s v="ST345"/>
    <x v="5"/>
    <d v="2025-10-15T00:00:00"/>
    <x v="2"/>
    <d v="1899-12-30T09:53:00"/>
    <d v="1899-12-30T10:53:00"/>
    <n v="33.700000000000003"/>
    <n v="337"/>
    <x v="1"/>
    <x v="6"/>
  </r>
  <r>
    <s v="ST346"/>
    <x v="7"/>
    <d v="2025-10-15T00:00:00"/>
    <x v="1"/>
    <d v="1899-12-30T14:53:00"/>
    <d v="1899-12-30T16:36:00"/>
    <n v="99.6"/>
    <n v="996"/>
    <x v="2"/>
    <x v="10"/>
  </r>
  <r>
    <s v="ST347"/>
    <x v="2"/>
    <d v="2025-10-15T00:00:00"/>
    <x v="3"/>
    <d v="1899-12-30T13:24:00"/>
    <d v="1899-12-30T15:24:00"/>
    <n v="13.9"/>
    <n v="139"/>
    <x v="1"/>
    <x v="14"/>
  </r>
  <r>
    <s v="ST348"/>
    <x v="8"/>
    <d v="2025-10-15T00:00:00"/>
    <x v="1"/>
    <d v="1899-12-30T20:08:00"/>
    <d v="1899-12-30T21:08:00"/>
    <n v="89.9"/>
    <n v="899"/>
    <x v="2"/>
    <x v="8"/>
  </r>
  <r>
    <s v="ST349"/>
    <x v="8"/>
    <d v="2025-10-15T00:00:00"/>
    <x v="2"/>
    <d v="1899-12-30T07:59:00"/>
    <d v="1899-12-30T10:31:00"/>
    <n v="98.5"/>
    <n v="985"/>
    <x v="0"/>
    <x v="11"/>
  </r>
  <r>
    <s v="ST350"/>
    <x v="0"/>
    <d v="2025-10-15T00:00:00"/>
    <x v="0"/>
    <d v="1899-12-30T19:54:00"/>
    <d v="1899-12-30T22:40:00"/>
    <n v="89.5"/>
    <n v="895"/>
    <x v="2"/>
    <x v="13"/>
  </r>
  <r>
    <s v="ST351"/>
    <x v="3"/>
    <d v="2025-10-15T00:00:00"/>
    <x v="0"/>
    <d v="1899-12-30T10:09:00"/>
    <d v="1899-12-30T12:02:00"/>
    <n v="61.3"/>
    <n v="613"/>
    <x v="1"/>
    <x v="3"/>
  </r>
  <r>
    <s v="ST352"/>
    <x v="0"/>
    <d v="2025-10-15T00:00:00"/>
    <x v="3"/>
    <d v="1899-12-30T09:48:00"/>
    <d v="1899-12-30T10:48:00"/>
    <n v="47.9"/>
    <n v="479"/>
    <x v="2"/>
    <x v="6"/>
  </r>
  <r>
    <s v="ST353"/>
    <x v="7"/>
    <d v="2025-10-15T00:00:00"/>
    <x v="1"/>
    <d v="1899-12-30T15:35:00"/>
    <d v="1899-12-30T16:05:00"/>
    <n v="99.3"/>
    <n v="993"/>
    <x v="2"/>
    <x v="1"/>
  </r>
  <r>
    <s v="ST354"/>
    <x v="7"/>
    <d v="2025-10-15T00:00:00"/>
    <x v="2"/>
    <d v="1899-12-30T10:53:00"/>
    <d v="1899-12-30T13:45:00"/>
    <n v="62.1"/>
    <n v="621"/>
    <x v="1"/>
    <x v="3"/>
  </r>
  <r>
    <s v="ST355"/>
    <x v="3"/>
    <d v="2025-10-15T00:00:00"/>
    <x v="1"/>
    <d v="1899-12-30T12:22:00"/>
    <d v="1899-12-30T15:05:00"/>
    <n v="60.1"/>
    <n v="601"/>
    <x v="2"/>
    <x v="0"/>
  </r>
  <r>
    <s v="ST356"/>
    <x v="1"/>
    <d v="2025-10-15T00:00:00"/>
    <x v="0"/>
    <d v="1899-12-30T07:26:00"/>
    <d v="1899-12-30T08:04:00"/>
    <n v="15.1"/>
    <n v="151"/>
    <x v="0"/>
    <x v="11"/>
  </r>
  <r>
    <s v="ST357"/>
    <x v="9"/>
    <d v="2025-10-15T00:00:00"/>
    <x v="3"/>
    <d v="1899-12-30T18:51:00"/>
    <d v="1899-12-30T19:34:00"/>
    <n v="40"/>
    <n v="400"/>
    <x v="0"/>
    <x v="9"/>
  </r>
  <r>
    <s v="ST358"/>
    <x v="9"/>
    <d v="2025-10-15T00:00:00"/>
    <x v="2"/>
    <d v="1899-12-30T15:22:00"/>
    <d v="1899-12-30T16:23:00"/>
    <n v="83.1"/>
    <n v="831"/>
    <x v="0"/>
    <x v="1"/>
  </r>
  <r>
    <s v="ST359"/>
    <x v="0"/>
    <d v="2025-10-15T00:00:00"/>
    <x v="2"/>
    <d v="1899-12-30T06:39:00"/>
    <d v="1899-12-30T07:22:00"/>
    <n v="69.599999999999994"/>
    <n v="696"/>
    <x v="2"/>
    <x v="5"/>
  </r>
  <r>
    <s v="ST360"/>
    <x v="4"/>
    <d v="2025-10-15T00:00:00"/>
    <x v="2"/>
    <d v="1899-12-30T16:36:00"/>
    <d v="1899-12-30T19:09:00"/>
    <n v="69.8"/>
    <n v="698"/>
    <x v="2"/>
    <x v="12"/>
  </r>
  <r>
    <s v="ST361"/>
    <x v="1"/>
    <d v="2025-10-15T00:00:00"/>
    <x v="2"/>
    <d v="1899-12-30T09:04:00"/>
    <d v="1899-12-30T09:50:00"/>
    <n v="62.2"/>
    <n v="622"/>
    <x v="1"/>
    <x v="6"/>
  </r>
  <r>
    <s v="ST362"/>
    <x v="5"/>
    <d v="2025-10-15T00:00:00"/>
    <x v="2"/>
    <d v="1899-12-30T08:53:00"/>
    <d v="1899-12-30T10:09:00"/>
    <n v="68.3"/>
    <n v="683"/>
    <x v="1"/>
    <x v="4"/>
  </r>
  <r>
    <s v="ST363"/>
    <x v="3"/>
    <d v="2025-10-15T00:00:00"/>
    <x v="2"/>
    <d v="1899-12-30T19:18:00"/>
    <d v="1899-12-30T19:56:00"/>
    <n v="16.5"/>
    <n v="165"/>
    <x v="0"/>
    <x v="13"/>
  </r>
  <r>
    <s v="ST364"/>
    <x v="5"/>
    <d v="2025-10-15T00:00:00"/>
    <x v="1"/>
    <d v="1899-12-30T17:29:00"/>
    <d v="1899-12-30T18:15:00"/>
    <n v="40.4"/>
    <n v="404"/>
    <x v="1"/>
    <x v="7"/>
  </r>
  <r>
    <s v="ST365"/>
    <x v="9"/>
    <d v="2025-10-15T00:00:00"/>
    <x v="3"/>
    <d v="1899-12-30T16:13:00"/>
    <d v="1899-12-30T17:04:00"/>
    <n v="76.599999999999994"/>
    <n v="766"/>
    <x v="1"/>
    <x v="12"/>
  </r>
  <r>
    <s v="ST366"/>
    <x v="2"/>
    <d v="2025-10-15T00:00:00"/>
    <x v="3"/>
    <d v="1899-12-30T09:29:00"/>
    <d v="1899-12-30T11:36:00"/>
    <n v="49.2"/>
    <n v="492"/>
    <x v="2"/>
    <x v="6"/>
  </r>
  <r>
    <s v="ST367"/>
    <x v="0"/>
    <d v="2025-10-15T00:00:00"/>
    <x v="2"/>
    <d v="1899-12-30T18:13:00"/>
    <d v="1899-12-30T18:49:00"/>
    <n v="67.8"/>
    <n v="678"/>
    <x v="0"/>
    <x v="9"/>
  </r>
  <r>
    <s v="ST368"/>
    <x v="9"/>
    <d v="2025-10-15T00:00:00"/>
    <x v="0"/>
    <d v="1899-12-30T18:19:00"/>
    <d v="1899-12-30T20:25:00"/>
    <n v="89.4"/>
    <n v="894"/>
    <x v="1"/>
    <x v="9"/>
  </r>
  <r>
    <s v="ST369"/>
    <x v="4"/>
    <d v="2025-10-15T00:00:00"/>
    <x v="0"/>
    <d v="1899-12-30T19:20:00"/>
    <d v="1899-12-30T21:08:00"/>
    <n v="81.8"/>
    <n v="818"/>
    <x v="1"/>
    <x v="13"/>
  </r>
  <r>
    <s v="ST370"/>
    <x v="8"/>
    <d v="2025-10-15T00:00:00"/>
    <x v="2"/>
    <d v="1899-12-30T09:27:00"/>
    <d v="1899-12-30T11:29:00"/>
    <n v="56.2"/>
    <n v="562"/>
    <x v="0"/>
    <x v="6"/>
  </r>
  <r>
    <s v="ST371"/>
    <x v="8"/>
    <d v="2025-10-15T00:00:00"/>
    <x v="1"/>
    <d v="1899-12-30T11:53:00"/>
    <d v="1899-12-30T14:11:00"/>
    <n v="64.5"/>
    <n v="645"/>
    <x v="0"/>
    <x v="2"/>
  </r>
  <r>
    <s v="ST372"/>
    <x v="0"/>
    <d v="2025-10-15T00:00:00"/>
    <x v="1"/>
    <d v="1899-12-30T06:28:00"/>
    <d v="1899-12-30T07:09:00"/>
    <n v="59.2"/>
    <n v="592"/>
    <x v="0"/>
    <x v="5"/>
  </r>
  <r>
    <s v="ST373"/>
    <x v="6"/>
    <d v="2025-10-15T00:00:00"/>
    <x v="0"/>
    <d v="1899-12-30T18:51:00"/>
    <d v="1899-12-30T20:24:00"/>
    <n v="86.3"/>
    <n v="863"/>
    <x v="0"/>
    <x v="9"/>
  </r>
  <r>
    <s v="ST374"/>
    <x v="0"/>
    <d v="2025-10-15T00:00:00"/>
    <x v="3"/>
    <d v="1899-12-30T18:15:00"/>
    <d v="1899-12-30T20:42:00"/>
    <n v="78.8"/>
    <n v="788"/>
    <x v="1"/>
    <x v="9"/>
  </r>
  <r>
    <s v="ST375"/>
    <x v="6"/>
    <d v="2025-10-15T00:00:00"/>
    <x v="2"/>
    <d v="1899-12-30T15:17:00"/>
    <d v="1899-12-30T17:24:00"/>
    <n v="46.6"/>
    <n v="466"/>
    <x v="0"/>
    <x v="1"/>
  </r>
  <r>
    <s v="ST376"/>
    <x v="5"/>
    <d v="2025-10-15T00:00:00"/>
    <x v="1"/>
    <d v="1899-12-30T10:34:00"/>
    <d v="1899-12-30T11:50:00"/>
    <n v="51"/>
    <n v="510"/>
    <x v="1"/>
    <x v="3"/>
  </r>
  <r>
    <s v="ST377"/>
    <x v="6"/>
    <d v="2025-10-15T00:00:00"/>
    <x v="0"/>
    <d v="1899-12-30T06:01:00"/>
    <d v="1899-12-30T08:19:00"/>
    <n v="33.4"/>
    <n v="334"/>
    <x v="1"/>
    <x v="5"/>
  </r>
  <r>
    <s v="ST378"/>
    <x v="9"/>
    <d v="2025-10-15T00:00:00"/>
    <x v="0"/>
    <d v="1899-12-30T16:47:00"/>
    <d v="1899-12-30T19:26:00"/>
    <n v="35.6"/>
    <n v="356"/>
    <x v="1"/>
    <x v="12"/>
  </r>
  <r>
    <s v="ST379"/>
    <x v="8"/>
    <d v="2025-10-15T00:00:00"/>
    <x v="3"/>
    <d v="1899-12-30T07:04:00"/>
    <d v="1899-12-30T09:56:00"/>
    <n v="4"/>
    <n v="40"/>
    <x v="0"/>
    <x v="11"/>
  </r>
  <r>
    <s v="ST380"/>
    <x v="4"/>
    <d v="2025-10-15T00:00:00"/>
    <x v="2"/>
    <d v="1899-12-30T19:01:00"/>
    <d v="1899-12-30T21:26:00"/>
    <n v="89.4"/>
    <n v="894"/>
    <x v="2"/>
    <x v="13"/>
  </r>
  <r>
    <s v="ST381"/>
    <x v="3"/>
    <d v="2025-10-15T00:00:00"/>
    <x v="0"/>
    <d v="1899-12-30T09:43:00"/>
    <d v="1899-12-30T12:03:00"/>
    <n v="4.2"/>
    <n v="42"/>
    <x v="2"/>
    <x v="6"/>
  </r>
  <r>
    <s v="ST382"/>
    <x v="1"/>
    <d v="2025-10-15T00:00:00"/>
    <x v="0"/>
    <d v="1899-12-30T09:23:00"/>
    <d v="1899-12-30T10:51:00"/>
    <n v="41.6"/>
    <n v="416"/>
    <x v="0"/>
    <x v="6"/>
  </r>
  <r>
    <s v="ST383"/>
    <x v="6"/>
    <d v="2025-10-15T00:00:00"/>
    <x v="3"/>
    <d v="1899-12-30T07:11:00"/>
    <d v="1899-12-30T08:47:00"/>
    <n v="44.2"/>
    <n v="442"/>
    <x v="0"/>
    <x v="11"/>
  </r>
  <r>
    <s v="ST384"/>
    <x v="1"/>
    <d v="2025-10-15T00:00:00"/>
    <x v="1"/>
    <d v="1899-12-30T13:06:00"/>
    <d v="1899-12-30T13:50:00"/>
    <n v="92.5"/>
    <n v="925"/>
    <x v="1"/>
    <x v="14"/>
  </r>
  <r>
    <s v="ST385"/>
    <x v="2"/>
    <d v="2025-10-15T00:00:00"/>
    <x v="0"/>
    <d v="1899-12-30T15:10:00"/>
    <d v="1899-12-30T17:42:00"/>
    <n v="38.6"/>
    <n v="386"/>
    <x v="2"/>
    <x v="1"/>
  </r>
  <r>
    <s v="ST386"/>
    <x v="7"/>
    <d v="2025-10-15T00:00:00"/>
    <x v="2"/>
    <d v="1899-12-30T06:20:00"/>
    <d v="1899-12-30T08:19:00"/>
    <n v="33.799999999999997"/>
    <n v="338"/>
    <x v="0"/>
    <x v="5"/>
  </r>
  <r>
    <s v="ST387"/>
    <x v="0"/>
    <d v="2025-10-15T00:00:00"/>
    <x v="2"/>
    <d v="1899-12-30T09:45:00"/>
    <d v="1899-12-30T10:58:00"/>
    <n v="31.4"/>
    <n v="314"/>
    <x v="1"/>
    <x v="6"/>
  </r>
  <r>
    <s v="ST388"/>
    <x v="7"/>
    <d v="2025-10-15T00:00:00"/>
    <x v="2"/>
    <d v="1899-12-30T16:14:00"/>
    <d v="1899-12-30T17:54:00"/>
    <n v="69"/>
    <n v="690"/>
    <x v="0"/>
    <x v="12"/>
  </r>
  <r>
    <s v="ST389"/>
    <x v="0"/>
    <d v="2025-10-15T00:00:00"/>
    <x v="3"/>
    <d v="1899-12-30T18:06:00"/>
    <d v="1899-12-30T19:58:00"/>
    <n v="96.5"/>
    <n v="965"/>
    <x v="0"/>
    <x v="9"/>
  </r>
  <r>
    <s v="ST390"/>
    <x v="5"/>
    <d v="2025-10-15T00:00:00"/>
    <x v="2"/>
    <d v="1899-12-30T09:55:00"/>
    <d v="1899-12-30T12:11:00"/>
    <n v="64.2"/>
    <n v="642"/>
    <x v="0"/>
    <x v="6"/>
  </r>
  <r>
    <s v="ST391"/>
    <x v="7"/>
    <d v="2025-10-15T00:00:00"/>
    <x v="2"/>
    <d v="1899-12-30T16:31:00"/>
    <d v="1899-12-30T17:53:00"/>
    <n v="37.200000000000003"/>
    <n v="372"/>
    <x v="1"/>
    <x v="12"/>
  </r>
  <r>
    <s v="ST392"/>
    <x v="7"/>
    <d v="2025-10-15T00:00:00"/>
    <x v="3"/>
    <d v="1899-12-30T14:06:00"/>
    <d v="1899-12-30T15:21:00"/>
    <n v="27.7"/>
    <n v="277"/>
    <x v="1"/>
    <x v="10"/>
  </r>
  <r>
    <s v="ST393"/>
    <x v="5"/>
    <d v="2025-10-15T00:00:00"/>
    <x v="0"/>
    <d v="1899-12-30T08:13:00"/>
    <d v="1899-12-30T09:00:00"/>
    <n v="89.6"/>
    <n v="896"/>
    <x v="2"/>
    <x v="4"/>
  </r>
  <r>
    <s v="ST394"/>
    <x v="1"/>
    <d v="2025-10-15T00:00:00"/>
    <x v="2"/>
    <d v="1899-12-30T14:31:00"/>
    <d v="1899-12-30T15:57:00"/>
    <n v="74.400000000000006"/>
    <n v="744"/>
    <x v="1"/>
    <x v="10"/>
  </r>
  <r>
    <s v="ST395"/>
    <x v="2"/>
    <d v="2025-10-15T00:00:00"/>
    <x v="1"/>
    <d v="1899-12-30T18:14:00"/>
    <d v="1899-12-30T20:21:00"/>
    <n v="27.2"/>
    <n v="272"/>
    <x v="2"/>
    <x v="9"/>
  </r>
  <r>
    <s v="ST396"/>
    <x v="0"/>
    <d v="2025-10-15T00:00:00"/>
    <x v="1"/>
    <d v="1899-12-30T06:58:00"/>
    <d v="1899-12-30T09:58:00"/>
    <n v="77.099999999999994"/>
    <n v="771"/>
    <x v="2"/>
    <x v="5"/>
  </r>
  <r>
    <s v="ST397"/>
    <x v="4"/>
    <d v="2025-10-15T00:00:00"/>
    <x v="2"/>
    <d v="1899-12-30T12:30:00"/>
    <d v="1899-12-30T13:18:00"/>
    <n v="21.9"/>
    <n v="219"/>
    <x v="2"/>
    <x v="0"/>
  </r>
  <r>
    <s v="ST398"/>
    <x v="3"/>
    <d v="2025-10-15T00:00:00"/>
    <x v="1"/>
    <d v="1899-12-30T07:56:00"/>
    <d v="1899-12-30T10:41:00"/>
    <n v="12.1"/>
    <n v="121"/>
    <x v="2"/>
    <x v="11"/>
  </r>
  <r>
    <s v="ST399"/>
    <x v="4"/>
    <d v="2025-10-15T00:00:00"/>
    <x v="3"/>
    <d v="1899-12-30T16:39:00"/>
    <d v="1899-12-30T18:21:00"/>
    <n v="52.4"/>
    <n v="524"/>
    <x v="1"/>
    <x v="12"/>
  </r>
  <r>
    <s v="ST400"/>
    <x v="3"/>
    <d v="2025-10-15T00:00:00"/>
    <x v="2"/>
    <d v="1899-12-30T11:01:00"/>
    <d v="1899-12-30T11:50:00"/>
    <n v="48.1"/>
    <n v="481"/>
    <x v="1"/>
    <x v="2"/>
  </r>
  <r>
    <s v="ST401"/>
    <x v="9"/>
    <d v="2025-10-15T00:00:00"/>
    <x v="3"/>
    <d v="1899-12-30T16:24:00"/>
    <d v="1899-12-30T18:54:00"/>
    <n v="98.5"/>
    <n v="985"/>
    <x v="0"/>
    <x v="12"/>
  </r>
  <r>
    <s v="ST402"/>
    <x v="5"/>
    <d v="2025-10-15T00:00:00"/>
    <x v="2"/>
    <d v="1899-12-30T13:32:00"/>
    <d v="1899-12-30T14:47:00"/>
    <n v="10.3"/>
    <n v="103"/>
    <x v="2"/>
    <x v="14"/>
  </r>
  <r>
    <s v="ST403"/>
    <x v="6"/>
    <d v="2025-10-15T00:00:00"/>
    <x v="1"/>
    <d v="1899-12-30T11:08:00"/>
    <d v="1899-12-30T13:50:00"/>
    <n v="50.3"/>
    <n v="503"/>
    <x v="0"/>
    <x v="2"/>
  </r>
  <r>
    <s v="ST404"/>
    <x v="4"/>
    <d v="2025-10-15T00:00:00"/>
    <x v="0"/>
    <d v="1899-12-30T17:47:00"/>
    <d v="1899-12-30T20:23:00"/>
    <n v="69.3"/>
    <n v="693"/>
    <x v="0"/>
    <x v="7"/>
  </r>
  <r>
    <s v="ST405"/>
    <x v="0"/>
    <d v="2025-10-15T00:00:00"/>
    <x v="1"/>
    <d v="1899-12-30T16:59:00"/>
    <d v="1899-12-30T19:38:00"/>
    <n v="82.1"/>
    <n v="821"/>
    <x v="2"/>
    <x v="12"/>
  </r>
  <r>
    <s v="ST406"/>
    <x v="3"/>
    <d v="2025-10-15T00:00:00"/>
    <x v="3"/>
    <d v="1899-12-30T14:51:00"/>
    <d v="1899-12-30T16:00:00"/>
    <n v="23.9"/>
    <n v="239"/>
    <x v="0"/>
    <x v="10"/>
  </r>
  <r>
    <s v="ST407"/>
    <x v="1"/>
    <d v="2025-10-15T00:00:00"/>
    <x v="0"/>
    <d v="1899-12-30T18:23:00"/>
    <d v="1899-12-30T20:10:00"/>
    <n v="61.5"/>
    <n v="615"/>
    <x v="1"/>
    <x v="9"/>
  </r>
  <r>
    <s v="ST408"/>
    <x v="7"/>
    <d v="2025-10-15T00:00:00"/>
    <x v="2"/>
    <d v="1899-12-30T08:40:00"/>
    <d v="1899-12-30T10:32:00"/>
    <n v="27.1"/>
    <n v="271"/>
    <x v="2"/>
    <x v="4"/>
  </r>
  <r>
    <s v="ST409"/>
    <x v="5"/>
    <d v="2025-10-15T00:00:00"/>
    <x v="2"/>
    <d v="1899-12-30T20:54:00"/>
    <d v="1899-12-30T22:52:00"/>
    <n v="76.3"/>
    <n v="763"/>
    <x v="1"/>
    <x v="8"/>
  </r>
  <r>
    <s v="ST410"/>
    <x v="6"/>
    <d v="2025-10-15T00:00:00"/>
    <x v="0"/>
    <d v="1899-12-30T14:14:00"/>
    <d v="1899-12-30T15:49:00"/>
    <n v="27.4"/>
    <n v="274"/>
    <x v="0"/>
    <x v="10"/>
  </r>
  <r>
    <s v="ST411"/>
    <x v="1"/>
    <d v="2025-10-15T00:00:00"/>
    <x v="3"/>
    <d v="1899-12-30T14:10:00"/>
    <d v="1899-12-30T15:28:00"/>
    <n v="19.2"/>
    <n v="192"/>
    <x v="1"/>
    <x v="10"/>
  </r>
  <r>
    <s v="ST412"/>
    <x v="1"/>
    <d v="2025-10-15T00:00:00"/>
    <x v="2"/>
    <d v="1899-12-30T06:38:00"/>
    <d v="1899-12-30T09:30:00"/>
    <n v="62.4"/>
    <n v="624"/>
    <x v="2"/>
    <x v="5"/>
  </r>
  <r>
    <s v="ST413"/>
    <x v="6"/>
    <d v="2025-10-15T00:00:00"/>
    <x v="1"/>
    <d v="1899-12-30T19:39:00"/>
    <d v="1899-12-30T20:22:00"/>
    <n v="11"/>
    <n v="110"/>
    <x v="0"/>
    <x v="13"/>
  </r>
  <r>
    <s v="ST414"/>
    <x v="6"/>
    <d v="2025-10-15T00:00:00"/>
    <x v="3"/>
    <d v="1899-12-30T09:04:00"/>
    <d v="1899-12-30T11:46:00"/>
    <n v="14.4"/>
    <n v="144"/>
    <x v="2"/>
    <x v="6"/>
  </r>
  <r>
    <s v="ST415"/>
    <x v="5"/>
    <d v="2025-10-15T00:00:00"/>
    <x v="3"/>
    <d v="1899-12-30T08:37:00"/>
    <d v="1899-12-30T09:47:00"/>
    <n v="30"/>
    <n v="300"/>
    <x v="2"/>
    <x v="4"/>
  </r>
  <r>
    <s v="ST416"/>
    <x v="5"/>
    <d v="2025-10-15T00:00:00"/>
    <x v="2"/>
    <d v="1899-12-30T14:24:00"/>
    <d v="1899-12-30T15:45:00"/>
    <n v="22.1"/>
    <n v="221"/>
    <x v="2"/>
    <x v="10"/>
  </r>
  <r>
    <s v="ST417"/>
    <x v="0"/>
    <d v="2025-10-15T00:00:00"/>
    <x v="2"/>
    <d v="1899-12-30T19:37:00"/>
    <d v="1899-12-30T20:30:00"/>
    <n v="81.7"/>
    <n v="817"/>
    <x v="1"/>
    <x v="13"/>
  </r>
  <r>
    <s v="ST418"/>
    <x v="3"/>
    <d v="2025-10-15T00:00:00"/>
    <x v="0"/>
    <d v="1899-12-30T08:41:00"/>
    <d v="1899-12-30T09:39:00"/>
    <n v="7.8"/>
    <n v="78"/>
    <x v="2"/>
    <x v="4"/>
  </r>
  <r>
    <s v="ST419"/>
    <x v="2"/>
    <d v="2025-10-15T00:00:00"/>
    <x v="3"/>
    <d v="1899-12-30T15:26:00"/>
    <d v="1899-12-30T16:10:00"/>
    <n v="16.7"/>
    <n v="167"/>
    <x v="1"/>
    <x v="1"/>
  </r>
  <r>
    <s v="ST420"/>
    <x v="4"/>
    <d v="2025-10-15T00:00:00"/>
    <x v="0"/>
    <d v="1899-12-30T08:26:00"/>
    <d v="1899-12-30T08:59:00"/>
    <n v="32.5"/>
    <n v="325"/>
    <x v="0"/>
    <x v="4"/>
  </r>
  <r>
    <s v="ST421"/>
    <x v="4"/>
    <d v="2025-10-15T00:00:00"/>
    <x v="0"/>
    <d v="1899-12-30T17:51:00"/>
    <d v="1899-12-30T20:50:00"/>
    <n v="73.2"/>
    <n v="732"/>
    <x v="1"/>
    <x v="7"/>
  </r>
  <r>
    <s v="ST422"/>
    <x v="6"/>
    <d v="2025-10-15T00:00:00"/>
    <x v="3"/>
    <d v="1899-12-30T17:29:00"/>
    <d v="1899-12-30T19:32:00"/>
    <n v="49.6"/>
    <n v="496"/>
    <x v="1"/>
    <x v="7"/>
  </r>
  <r>
    <s v="ST423"/>
    <x v="9"/>
    <d v="2025-10-15T00:00:00"/>
    <x v="2"/>
    <d v="1899-12-30T12:56:00"/>
    <d v="1899-12-30T14:38:00"/>
    <n v="65.8"/>
    <n v="658"/>
    <x v="0"/>
    <x v="0"/>
  </r>
  <r>
    <s v="ST424"/>
    <x v="9"/>
    <d v="2025-10-15T00:00:00"/>
    <x v="2"/>
    <d v="1899-12-30T17:19:00"/>
    <d v="1899-12-30T18:05:00"/>
    <n v="8.6999999999999993"/>
    <n v="87"/>
    <x v="2"/>
    <x v="7"/>
  </r>
  <r>
    <s v="ST425"/>
    <x v="5"/>
    <d v="2025-10-15T00:00:00"/>
    <x v="2"/>
    <d v="1899-12-30T06:58:00"/>
    <d v="1899-12-30T07:57:00"/>
    <n v="88.7"/>
    <n v="887"/>
    <x v="2"/>
    <x v="5"/>
  </r>
  <r>
    <s v="ST426"/>
    <x v="9"/>
    <d v="2025-10-15T00:00:00"/>
    <x v="3"/>
    <d v="1899-12-30T06:18:00"/>
    <d v="1899-12-30T08:50:00"/>
    <n v="84.2"/>
    <n v="842"/>
    <x v="2"/>
    <x v="5"/>
  </r>
  <r>
    <s v="ST427"/>
    <x v="6"/>
    <d v="2025-10-15T00:00:00"/>
    <x v="0"/>
    <d v="1899-12-30T13:21:00"/>
    <d v="1899-12-30T14:52:00"/>
    <n v="28.5"/>
    <n v="285"/>
    <x v="1"/>
    <x v="14"/>
  </r>
  <r>
    <s v="ST428"/>
    <x v="4"/>
    <d v="2025-10-15T00:00:00"/>
    <x v="2"/>
    <d v="1899-12-30T06:20:00"/>
    <d v="1899-12-30T07:30:00"/>
    <n v="99.3"/>
    <n v="993"/>
    <x v="2"/>
    <x v="5"/>
  </r>
  <r>
    <s v="ST429"/>
    <x v="7"/>
    <d v="2025-10-15T00:00:00"/>
    <x v="1"/>
    <d v="1899-12-30T07:34:00"/>
    <d v="1899-12-30T08:21:00"/>
    <n v="90.3"/>
    <n v="903"/>
    <x v="0"/>
    <x v="11"/>
  </r>
  <r>
    <s v="ST430"/>
    <x v="0"/>
    <d v="2025-10-15T00:00:00"/>
    <x v="3"/>
    <d v="1899-12-30T06:11:00"/>
    <d v="1899-12-30T08:12:00"/>
    <n v="76"/>
    <n v="760"/>
    <x v="2"/>
    <x v="5"/>
  </r>
  <r>
    <s v="ST431"/>
    <x v="9"/>
    <d v="2025-10-15T00:00:00"/>
    <x v="1"/>
    <d v="1899-12-30T09:44:00"/>
    <d v="1899-12-30T12:44:00"/>
    <n v="87.2"/>
    <n v="872"/>
    <x v="1"/>
    <x v="6"/>
  </r>
  <r>
    <s v="ST432"/>
    <x v="7"/>
    <d v="2025-10-15T00:00:00"/>
    <x v="2"/>
    <d v="1899-12-30T06:55:00"/>
    <d v="1899-12-30T07:44:00"/>
    <n v="13.2"/>
    <n v="132"/>
    <x v="2"/>
    <x v="5"/>
  </r>
  <r>
    <s v="ST433"/>
    <x v="5"/>
    <d v="2025-10-15T00:00:00"/>
    <x v="2"/>
    <d v="1899-12-30T06:56:00"/>
    <d v="1899-12-30T08:44:00"/>
    <n v="69.400000000000006"/>
    <n v="694"/>
    <x v="0"/>
    <x v="5"/>
  </r>
  <r>
    <s v="ST434"/>
    <x v="2"/>
    <d v="2025-10-15T00:00:00"/>
    <x v="2"/>
    <d v="1899-12-30T19:49:00"/>
    <d v="1899-12-30T22:01:00"/>
    <n v="77.400000000000006"/>
    <n v="774"/>
    <x v="2"/>
    <x v="13"/>
  </r>
  <r>
    <s v="ST435"/>
    <x v="7"/>
    <d v="2025-10-15T00:00:00"/>
    <x v="1"/>
    <d v="1899-12-30T09:09:00"/>
    <d v="1899-12-30T10:34:00"/>
    <n v="38.4"/>
    <n v="384"/>
    <x v="2"/>
    <x v="6"/>
  </r>
  <r>
    <s v="ST436"/>
    <x v="2"/>
    <d v="2025-10-15T00:00:00"/>
    <x v="2"/>
    <d v="1899-12-30T10:09:00"/>
    <d v="1899-12-30T12:56:00"/>
    <n v="82.1"/>
    <n v="821"/>
    <x v="0"/>
    <x v="3"/>
  </r>
  <r>
    <s v="ST437"/>
    <x v="6"/>
    <d v="2025-10-15T00:00:00"/>
    <x v="2"/>
    <d v="1899-12-30T18:27:00"/>
    <d v="1899-12-30T19:09:00"/>
    <n v="98.2"/>
    <n v="982"/>
    <x v="2"/>
    <x v="9"/>
  </r>
  <r>
    <s v="ST438"/>
    <x v="3"/>
    <d v="2025-10-15T00:00:00"/>
    <x v="2"/>
    <d v="1899-12-30T09:25:00"/>
    <d v="1899-12-30T12:08:00"/>
    <n v="73.7"/>
    <n v="737"/>
    <x v="2"/>
    <x v="6"/>
  </r>
  <r>
    <s v="ST439"/>
    <x v="1"/>
    <d v="2025-10-15T00:00:00"/>
    <x v="3"/>
    <d v="1899-12-30T10:26:00"/>
    <d v="1899-12-30T13:02:00"/>
    <n v="79"/>
    <n v="790"/>
    <x v="2"/>
    <x v="3"/>
  </r>
  <r>
    <s v="ST440"/>
    <x v="4"/>
    <d v="2025-10-15T00:00:00"/>
    <x v="3"/>
    <d v="1899-12-30T18:24:00"/>
    <d v="1899-12-30T20:09:00"/>
    <n v="41.8"/>
    <n v="418"/>
    <x v="0"/>
    <x v="9"/>
  </r>
  <r>
    <s v="ST441"/>
    <x v="6"/>
    <d v="2025-10-15T00:00:00"/>
    <x v="2"/>
    <d v="1899-12-30T17:23:00"/>
    <d v="1899-12-30T19:35:00"/>
    <n v="99.9"/>
    <n v="999"/>
    <x v="1"/>
    <x v="7"/>
  </r>
  <r>
    <s v="ST442"/>
    <x v="9"/>
    <d v="2025-10-15T00:00:00"/>
    <x v="2"/>
    <d v="1899-12-30T13:33:00"/>
    <d v="1899-12-30T14:16:00"/>
    <n v="69.099999999999994"/>
    <n v="691"/>
    <x v="2"/>
    <x v="14"/>
  </r>
  <r>
    <s v="ST443"/>
    <x v="0"/>
    <d v="2025-10-15T00:00:00"/>
    <x v="1"/>
    <d v="1899-12-30T14:33:00"/>
    <d v="1899-12-30T16:14:00"/>
    <n v="99.8"/>
    <n v="998"/>
    <x v="0"/>
    <x v="10"/>
  </r>
  <r>
    <s v="ST444"/>
    <x v="1"/>
    <d v="2025-10-15T00:00:00"/>
    <x v="3"/>
    <d v="1899-12-30T14:35:00"/>
    <d v="1899-12-30T16:28:00"/>
    <n v="37.299999999999997"/>
    <n v="373"/>
    <x v="1"/>
    <x v="10"/>
  </r>
  <r>
    <s v="ST445"/>
    <x v="4"/>
    <d v="2025-10-15T00:00:00"/>
    <x v="1"/>
    <d v="1899-12-30T19:14:00"/>
    <d v="1899-12-30T20:16:00"/>
    <n v="97.5"/>
    <n v="975"/>
    <x v="1"/>
    <x v="13"/>
  </r>
  <r>
    <s v="ST446"/>
    <x v="8"/>
    <d v="2025-10-15T00:00:00"/>
    <x v="1"/>
    <d v="1899-12-30T15:55:00"/>
    <d v="1899-12-30T18:33:00"/>
    <n v="54.7"/>
    <n v="547"/>
    <x v="1"/>
    <x v="1"/>
  </r>
  <r>
    <s v="ST447"/>
    <x v="6"/>
    <d v="2025-10-15T00:00:00"/>
    <x v="1"/>
    <d v="1899-12-30T17:06:00"/>
    <d v="1899-12-30T18:32:00"/>
    <n v="83.2"/>
    <n v="832"/>
    <x v="2"/>
    <x v="7"/>
  </r>
  <r>
    <s v="ST448"/>
    <x v="1"/>
    <d v="2025-10-15T00:00:00"/>
    <x v="3"/>
    <d v="1899-12-30T17:43:00"/>
    <d v="1899-12-30T19:25:00"/>
    <n v="65.7"/>
    <n v="657"/>
    <x v="0"/>
    <x v="7"/>
  </r>
  <r>
    <s v="ST449"/>
    <x v="4"/>
    <d v="2025-10-15T00:00:00"/>
    <x v="1"/>
    <d v="1899-12-30T07:25:00"/>
    <d v="1899-12-30T09:55:00"/>
    <n v="10.6"/>
    <n v="106"/>
    <x v="1"/>
    <x v="11"/>
  </r>
  <r>
    <s v="ST450"/>
    <x v="7"/>
    <d v="2025-10-15T00:00:00"/>
    <x v="3"/>
    <d v="1899-12-30T08:14:00"/>
    <d v="1899-12-30T10:31:00"/>
    <n v="79.599999999999994"/>
    <n v="796"/>
    <x v="0"/>
    <x v="4"/>
  </r>
  <r>
    <s v="ST451"/>
    <x v="4"/>
    <d v="2025-10-15T00:00:00"/>
    <x v="1"/>
    <d v="1899-12-30T17:20:00"/>
    <d v="1899-12-30T19:35:00"/>
    <n v="86.9"/>
    <n v="869"/>
    <x v="2"/>
    <x v="7"/>
  </r>
  <r>
    <s v="ST452"/>
    <x v="4"/>
    <d v="2025-10-15T00:00:00"/>
    <x v="3"/>
    <d v="1899-12-30T13:36:00"/>
    <d v="1899-12-30T16:00:00"/>
    <n v="18.399999999999999"/>
    <n v="184"/>
    <x v="0"/>
    <x v="14"/>
  </r>
  <r>
    <s v="ST453"/>
    <x v="2"/>
    <d v="2025-10-15T00:00:00"/>
    <x v="1"/>
    <d v="1899-12-30T17:47:00"/>
    <d v="1899-12-30T19:06:00"/>
    <n v="76.900000000000006"/>
    <n v="769"/>
    <x v="1"/>
    <x v="7"/>
  </r>
  <r>
    <s v="ST454"/>
    <x v="1"/>
    <d v="2025-10-15T00:00:00"/>
    <x v="3"/>
    <d v="1899-12-30T06:24:00"/>
    <d v="1899-12-30T07:09:00"/>
    <n v="69.400000000000006"/>
    <n v="694"/>
    <x v="1"/>
    <x v="5"/>
  </r>
  <r>
    <s v="ST455"/>
    <x v="0"/>
    <d v="2025-10-15T00:00:00"/>
    <x v="1"/>
    <d v="1899-12-30T06:08:00"/>
    <d v="1899-12-30T06:53:00"/>
    <n v="23"/>
    <n v="230"/>
    <x v="2"/>
    <x v="5"/>
  </r>
  <r>
    <s v="ST456"/>
    <x v="6"/>
    <d v="2025-10-15T00:00:00"/>
    <x v="3"/>
    <d v="1899-12-30T14:50:00"/>
    <d v="1899-12-30T16:14:00"/>
    <n v="73.400000000000006"/>
    <n v="734"/>
    <x v="1"/>
    <x v="10"/>
  </r>
  <r>
    <s v="ST457"/>
    <x v="8"/>
    <d v="2025-10-15T00:00:00"/>
    <x v="3"/>
    <d v="1899-12-30T19:50:00"/>
    <d v="1899-12-30T21:09:00"/>
    <n v="72.8"/>
    <n v="728"/>
    <x v="1"/>
    <x v="13"/>
  </r>
  <r>
    <s v="ST458"/>
    <x v="9"/>
    <d v="2025-10-15T00:00:00"/>
    <x v="2"/>
    <d v="1899-12-30T11:21:00"/>
    <d v="1899-12-30T13:36:00"/>
    <n v="17.899999999999999"/>
    <n v="179"/>
    <x v="0"/>
    <x v="2"/>
  </r>
  <r>
    <s v="ST459"/>
    <x v="9"/>
    <d v="2025-10-15T00:00:00"/>
    <x v="3"/>
    <d v="1899-12-30T19:31:00"/>
    <d v="1899-12-30T21:42:00"/>
    <n v="75.900000000000006"/>
    <n v="759"/>
    <x v="2"/>
    <x v="13"/>
  </r>
  <r>
    <s v="ST460"/>
    <x v="4"/>
    <d v="2025-10-15T00:00:00"/>
    <x v="3"/>
    <d v="1899-12-30T10:42:00"/>
    <d v="1899-12-30T11:38:00"/>
    <n v="60"/>
    <n v="600"/>
    <x v="0"/>
    <x v="3"/>
  </r>
  <r>
    <s v="ST461"/>
    <x v="5"/>
    <d v="2025-10-15T00:00:00"/>
    <x v="3"/>
    <d v="1899-12-30T06:24:00"/>
    <d v="1899-12-30T07:20:00"/>
    <n v="27.9"/>
    <n v="279"/>
    <x v="1"/>
    <x v="5"/>
  </r>
  <r>
    <s v="ST462"/>
    <x v="4"/>
    <d v="2025-10-15T00:00:00"/>
    <x v="0"/>
    <d v="1899-12-30T13:30:00"/>
    <d v="1899-12-30T15:13:00"/>
    <n v="65.900000000000006"/>
    <n v="659"/>
    <x v="2"/>
    <x v="14"/>
  </r>
  <r>
    <s v="ST463"/>
    <x v="9"/>
    <d v="2025-10-15T00:00:00"/>
    <x v="1"/>
    <d v="1899-12-30T19:13:00"/>
    <d v="1899-12-30T19:59:00"/>
    <n v="40.4"/>
    <n v="404"/>
    <x v="0"/>
    <x v="13"/>
  </r>
  <r>
    <s v="ST464"/>
    <x v="3"/>
    <d v="2025-10-15T00:00:00"/>
    <x v="2"/>
    <d v="1899-12-30T06:52:00"/>
    <d v="1899-12-30T09:30:00"/>
    <n v="4.5999999999999996"/>
    <n v="46"/>
    <x v="0"/>
    <x v="5"/>
  </r>
  <r>
    <s v="ST465"/>
    <x v="0"/>
    <d v="2025-10-15T00:00:00"/>
    <x v="2"/>
    <d v="1899-12-30T17:23:00"/>
    <d v="1899-12-30T19:32:00"/>
    <n v="18.899999999999999"/>
    <n v="189"/>
    <x v="2"/>
    <x v="7"/>
  </r>
  <r>
    <s v="ST466"/>
    <x v="8"/>
    <d v="2025-10-15T00:00:00"/>
    <x v="3"/>
    <d v="1899-12-30T10:31:00"/>
    <d v="1899-12-30T12:40:00"/>
    <n v="4.9000000000000004"/>
    <n v="49"/>
    <x v="1"/>
    <x v="3"/>
  </r>
  <r>
    <s v="ST467"/>
    <x v="4"/>
    <d v="2025-10-15T00:00:00"/>
    <x v="0"/>
    <d v="1899-12-30T08:42:00"/>
    <d v="1899-12-30T09:38:00"/>
    <n v="46.5"/>
    <n v="465"/>
    <x v="1"/>
    <x v="4"/>
  </r>
  <r>
    <s v="ST468"/>
    <x v="8"/>
    <d v="2025-10-15T00:00:00"/>
    <x v="1"/>
    <d v="1899-12-30T07:33:00"/>
    <d v="1899-12-30T10:01:00"/>
    <n v="43.8"/>
    <n v="438"/>
    <x v="0"/>
    <x v="11"/>
  </r>
  <r>
    <s v="ST469"/>
    <x v="7"/>
    <d v="2025-10-15T00:00:00"/>
    <x v="3"/>
    <d v="1899-12-30T07:12:00"/>
    <d v="1899-12-30T08:45:00"/>
    <n v="61.6"/>
    <n v="616"/>
    <x v="0"/>
    <x v="11"/>
  </r>
  <r>
    <s v="ST470"/>
    <x v="3"/>
    <d v="2025-10-15T00:00:00"/>
    <x v="3"/>
    <d v="1899-12-30T19:17:00"/>
    <d v="1899-12-30T21:37:00"/>
    <n v="67.099999999999994"/>
    <n v="671"/>
    <x v="2"/>
    <x v="13"/>
  </r>
  <r>
    <s v="ST471"/>
    <x v="1"/>
    <d v="2025-10-15T00:00:00"/>
    <x v="1"/>
    <d v="1899-12-30T06:31:00"/>
    <d v="1899-12-30T09:08:00"/>
    <n v="23.2"/>
    <n v="232"/>
    <x v="2"/>
    <x v="5"/>
  </r>
  <r>
    <s v="ST472"/>
    <x v="2"/>
    <d v="2025-10-15T00:00:00"/>
    <x v="3"/>
    <d v="1899-12-30T12:16:00"/>
    <d v="1899-12-30T14:52:00"/>
    <n v="24"/>
    <n v="240"/>
    <x v="2"/>
    <x v="0"/>
  </r>
  <r>
    <s v="ST473"/>
    <x v="0"/>
    <d v="2025-10-15T00:00:00"/>
    <x v="2"/>
    <d v="1899-12-30T08:37:00"/>
    <d v="1899-12-30T10:42:00"/>
    <n v="67.900000000000006"/>
    <n v="679"/>
    <x v="0"/>
    <x v="4"/>
  </r>
  <r>
    <s v="ST474"/>
    <x v="2"/>
    <d v="2025-10-15T00:00:00"/>
    <x v="2"/>
    <d v="1899-12-30T11:30:00"/>
    <d v="1899-12-30T13:24:00"/>
    <n v="76.2"/>
    <n v="762"/>
    <x v="2"/>
    <x v="2"/>
  </r>
  <r>
    <s v="ST475"/>
    <x v="4"/>
    <d v="2025-10-15T00:00:00"/>
    <x v="0"/>
    <d v="1899-12-30T11:36:00"/>
    <d v="1899-12-30T13:07:00"/>
    <n v="83.6"/>
    <n v="836"/>
    <x v="2"/>
    <x v="2"/>
  </r>
  <r>
    <s v="ST476"/>
    <x v="1"/>
    <d v="2025-10-15T00:00:00"/>
    <x v="3"/>
    <d v="1899-12-30T07:00:00"/>
    <d v="1899-12-30T09:37:00"/>
    <n v="68.5"/>
    <n v="685"/>
    <x v="1"/>
    <x v="11"/>
  </r>
  <r>
    <s v="ST477"/>
    <x v="0"/>
    <d v="2025-10-15T00:00:00"/>
    <x v="0"/>
    <d v="1899-12-30T17:04:00"/>
    <d v="1899-12-30T17:38:00"/>
    <n v="25"/>
    <n v="250"/>
    <x v="0"/>
    <x v="7"/>
  </r>
  <r>
    <s v="ST478"/>
    <x v="9"/>
    <d v="2025-10-15T00:00:00"/>
    <x v="3"/>
    <d v="1899-12-30T14:19:00"/>
    <d v="1899-12-30T15:20:00"/>
    <n v="35"/>
    <n v="350"/>
    <x v="1"/>
    <x v="10"/>
  </r>
  <r>
    <s v="ST479"/>
    <x v="6"/>
    <d v="2025-10-15T00:00:00"/>
    <x v="2"/>
    <d v="1899-12-30T11:21:00"/>
    <d v="1899-12-30T13:13:00"/>
    <n v="33.1"/>
    <n v="331"/>
    <x v="0"/>
    <x v="2"/>
  </r>
  <r>
    <s v="ST480"/>
    <x v="4"/>
    <d v="2025-10-15T00:00:00"/>
    <x v="0"/>
    <d v="1899-12-30T15:49:00"/>
    <d v="1899-12-30T18:24:00"/>
    <n v="29.7"/>
    <n v="297"/>
    <x v="2"/>
    <x v="1"/>
  </r>
  <r>
    <s v="ST481"/>
    <x v="1"/>
    <d v="2025-10-15T00:00:00"/>
    <x v="0"/>
    <d v="1899-12-30T07:50:00"/>
    <d v="1899-12-30T10:32:00"/>
    <n v="64.8"/>
    <n v="648"/>
    <x v="2"/>
    <x v="11"/>
  </r>
  <r>
    <s v="ST482"/>
    <x v="6"/>
    <d v="2025-10-15T00:00:00"/>
    <x v="1"/>
    <d v="1899-12-30T07:21:00"/>
    <d v="1899-12-30T10:19:00"/>
    <n v="13.2"/>
    <n v="132"/>
    <x v="0"/>
    <x v="11"/>
  </r>
  <r>
    <s v="ST483"/>
    <x v="8"/>
    <d v="2025-10-15T00:00:00"/>
    <x v="3"/>
    <d v="1899-12-30T07:06:00"/>
    <d v="1899-12-30T10:05:00"/>
    <n v="77.099999999999994"/>
    <n v="771"/>
    <x v="1"/>
    <x v="11"/>
  </r>
  <r>
    <s v="ST484"/>
    <x v="6"/>
    <d v="2025-10-15T00:00:00"/>
    <x v="1"/>
    <d v="1899-12-30T16:24:00"/>
    <d v="1899-12-30T17:48:00"/>
    <n v="94.4"/>
    <n v="944"/>
    <x v="2"/>
    <x v="12"/>
  </r>
  <r>
    <s v="ST485"/>
    <x v="2"/>
    <d v="2025-10-15T00:00:00"/>
    <x v="0"/>
    <d v="1899-12-30T13:17:00"/>
    <d v="1899-12-30T14:47:00"/>
    <n v="48.8"/>
    <n v="488"/>
    <x v="0"/>
    <x v="14"/>
  </r>
  <r>
    <s v="ST486"/>
    <x v="7"/>
    <d v="2025-10-15T00:00:00"/>
    <x v="3"/>
    <d v="1899-12-30T12:24:00"/>
    <d v="1899-12-30T14:08:00"/>
    <n v="82.6"/>
    <n v="826"/>
    <x v="1"/>
    <x v="0"/>
  </r>
  <r>
    <s v="ST487"/>
    <x v="7"/>
    <d v="2025-10-15T00:00:00"/>
    <x v="0"/>
    <d v="1899-12-30T13:45:00"/>
    <d v="1899-12-30T15:58:00"/>
    <n v="11.8"/>
    <n v="118"/>
    <x v="2"/>
    <x v="14"/>
  </r>
  <r>
    <s v="ST488"/>
    <x v="9"/>
    <d v="2025-10-15T00:00:00"/>
    <x v="1"/>
    <d v="1899-12-30T16:21:00"/>
    <d v="1899-12-30T17:21:00"/>
    <n v="74.2"/>
    <n v="742"/>
    <x v="0"/>
    <x v="12"/>
  </r>
  <r>
    <s v="ST489"/>
    <x v="9"/>
    <d v="2025-10-15T00:00:00"/>
    <x v="1"/>
    <d v="1899-12-30T10:33:00"/>
    <d v="1899-12-30T11:28:00"/>
    <n v="21.2"/>
    <n v="212"/>
    <x v="1"/>
    <x v="3"/>
  </r>
  <r>
    <s v="ST490"/>
    <x v="1"/>
    <d v="2025-10-15T00:00:00"/>
    <x v="3"/>
    <d v="1899-12-30T14:33:00"/>
    <d v="1899-12-30T16:05:00"/>
    <n v="83.4"/>
    <n v="834"/>
    <x v="2"/>
    <x v="10"/>
  </r>
  <r>
    <s v="ST491"/>
    <x v="1"/>
    <d v="2025-10-15T00:00:00"/>
    <x v="2"/>
    <d v="1899-12-30T10:58:00"/>
    <d v="1899-12-30T12:41:00"/>
    <n v="51.2"/>
    <n v="512"/>
    <x v="1"/>
    <x v="3"/>
  </r>
  <r>
    <s v="ST492"/>
    <x v="6"/>
    <d v="2025-10-15T00:00:00"/>
    <x v="0"/>
    <d v="1899-12-30T07:59:00"/>
    <d v="1899-12-30T10:49:00"/>
    <n v="20"/>
    <n v="200"/>
    <x v="0"/>
    <x v="11"/>
  </r>
  <r>
    <s v="ST493"/>
    <x v="1"/>
    <d v="2025-10-15T00:00:00"/>
    <x v="2"/>
    <d v="1899-12-30T12:46:00"/>
    <d v="1899-12-30T13:43:00"/>
    <n v="11.9"/>
    <n v="119"/>
    <x v="2"/>
    <x v="0"/>
  </r>
  <r>
    <s v="ST494"/>
    <x v="5"/>
    <d v="2025-10-15T00:00:00"/>
    <x v="0"/>
    <d v="1899-12-30T17:18:00"/>
    <d v="1899-12-30T18:52:00"/>
    <n v="18.399999999999999"/>
    <n v="184"/>
    <x v="0"/>
    <x v="7"/>
  </r>
  <r>
    <s v="ST495"/>
    <x v="4"/>
    <d v="2025-10-15T00:00:00"/>
    <x v="3"/>
    <d v="1899-12-30T14:24:00"/>
    <d v="1899-12-30T15:42:00"/>
    <n v="30.9"/>
    <n v="309"/>
    <x v="0"/>
    <x v="10"/>
  </r>
  <r>
    <s v="ST496"/>
    <x v="3"/>
    <d v="2025-10-15T00:00:00"/>
    <x v="1"/>
    <d v="1899-12-30T16:39:00"/>
    <d v="1899-12-30T19:15:00"/>
    <n v="44.2"/>
    <n v="442"/>
    <x v="1"/>
    <x v="12"/>
  </r>
  <r>
    <s v="ST497"/>
    <x v="9"/>
    <d v="2025-10-15T00:00:00"/>
    <x v="0"/>
    <d v="1899-12-30T10:21:00"/>
    <d v="1899-12-30T13:18:00"/>
    <n v="18.2"/>
    <n v="182"/>
    <x v="2"/>
    <x v="3"/>
  </r>
  <r>
    <s v="ST498"/>
    <x v="4"/>
    <d v="2025-10-15T00:00:00"/>
    <x v="2"/>
    <d v="1899-12-30T16:55:00"/>
    <d v="1899-12-30T18:21:00"/>
    <n v="30.8"/>
    <n v="308"/>
    <x v="1"/>
    <x v="12"/>
  </r>
  <r>
    <s v="ST499"/>
    <x v="8"/>
    <d v="2025-10-15T00:00:00"/>
    <x v="2"/>
    <d v="1899-12-30T12:59:00"/>
    <d v="1899-12-30T14:15:00"/>
    <n v="20"/>
    <n v="200"/>
    <x v="2"/>
    <x v="0"/>
  </r>
  <r>
    <s v="ST500"/>
    <x v="8"/>
    <d v="2025-10-15T00:00:00"/>
    <x v="3"/>
    <d v="1899-12-30T11:34:00"/>
    <d v="1899-12-30T13:42:00"/>
    <n v="13.9"/>
    <n v="139"/>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00FA47-39D9-499B-8B37-E0318D3AD0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ity">
  <location ref="A3:B14" firstHeaderRow="1" firstDataRow="1" firstDataCol="1"/>
  <pivotFields count="10">
    <pivotField showAll="0"/>
    <pivotField axis="axisRow" showAll="0" sortType="descending">
      <items count="11">
        <item x="9"/>
        <item x="8"/>
        <item x="6"/>
        <item x="4"/>
        <item x="2"/>
        <item x="3"/>
        <item x="5"/>
        <item x="0"/>
        <item x="7"/>
        <item x="1"/>
        <item t="default"/>
      </items>
      <autoSortScope>
        <pivotArea dataOnly="0" outline="0" fieldPosition="0">
          <references count="1">
            <reference field="4294967294" count="1" selected="0">
              <x v="0"/>
            </reference>
          </references>
        </pivotArea>
      </autoSortScope>
    </pivotField>
    <pivotField numFmtId="14" showAll="0"/>
    <pivotField showAll="0">
      <items count="5">
        <item x="3"/>
        <item x="1"/>
        <item x="0"/>
        <item x="2"/>
        <item t="default"/>
      </items>
    </pivotField>
    <pivotField numFmtId="164" showAll="0"/>
    <pivotField numFmtId="165" showAll="0"/>
    <pivotField numFmtId="2" showAll="0"/>
    <pivotField dataField="1" numFmtId="166" showAll="0"/>
    <pivotField showAll="0">
      <items count="4">
        <item x="2"/>
        <item x="1"/>
        <item x="0"/>
        <item t="default"/>
      </items>
    </pivotField>
    <pivotField showAll="0"/>
  </pivotFields>
  <rowFields count="1">
    <field x="1"/>
  </rowFields>
  <rowItems count="11">
    <i>
      <x v="3"/>
    </i>
    <i>
      <x v="6"/>
    </i>
    <i>
      <x v="7"/>
    </i>
    <i>
      <x/>
    </i>
    <i>
      <x v="1"/>
    </i>
    <i>
      <x v="9"/>
    </i>
    <i>
      <x v="5"/>
    </i>
    <i>
      <x v="4"/>
    </i>
    <i>
      <x v="2"/>
    </i>
    <i>
      <x v="8"/>
    </i>
    <i t="grand">
      <x/>
    </i>
  </rowItems>
  <colItems count="1">
    <i/>
  </colItems>
  <dataFields count="1">
    <dataField name="Total Revenue" fld="7" baseField="1" baseItem="3" numFmtId="3"/>
  </dataFields>
  <formats count="1">
    <format dxfId="4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A80B6E-9C14-4447-8DEB-ED283458A0A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Vehicle Type">
  <location ref="A3:B8" firstHeaderRow="1" firstDataRow="1" firstDataCol="1"/>
  <pivotFields count="10">
    <pivotField dataField="1" showAll="0"/>
    <pivotField showAll="0">
      <items count="11">
        <item x="9"/>
        <item x="8"/>
        <item x="6"/>
        <item x="4"/>
        <item x="2"/>
        <item x="3"/>
        <item x="5"/>
        <item x="0"/>
        <item x="7"/>
        <item x="1"/>
        <item t="default"/>
      </items>
    </pivotField>
    <pivotField numFmtId="14"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numFmtId="164" showAll="0"/>
    <pivotField numFmtId="165" showAll="0"/>
    <pivotField numFmtId="2" showAll="0"/>
    <pivotField numFmtId="166" showAll="0"/>
    <pivotField showAll="0">
      <items count="4">
        <item x="2"/>
        <item x="1"/>
        <item x="0"/>
        <item t="default"/>
      </items>
    </pivotField>
    <pivotField showAll="0"/>
  </pivotFields>
  <rowFields count="1">
    <field x="3"/>
  </rowFields>
  <rowItems count="5">
    <i>
      <x v="3"/>
    </i>
    <i>
      <x v="2"/>
    </i>
    <i>
      <x/>
    </i>
    <i>
      <x v="1"/>
    </i>
    <i t="grand">
      <x/>
    </i>
  </rowItems>
  <colItems count="1">
    <i/>
  </colItems>
  <dataFields count="1">
    <dataField name="Charging sessions" fld="0" subtotal="count" baseField="3" baseItem="3"/>
  </dataFields>
  <formats count="1">
    <format dxfId="3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D257A9-4250-469D-9EA0-394BC8F4BF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ayment Method">
  <location ref="A3:B7" firstHeaderRow="1" firstDataRow="1" firstDataCol="1"/>
  <pivotFields count="10">
    <pivotField showAll="0"/>
    <pivotField showAll="0">
      <items count="11">
        <item x="9"/>
        <item x="8"/>
        <item x="6"/>
        <item x="4"/>
        <item x="2"/>
        <item x="3"/>
        <item x="5"/>
        <item x="0"/>
        <item x="7"/>
        <item x="1"/>
        <item t="default"/>
      </items>
    </pivotField>
    <pivotField numFmtId="14" showAll="0"/>
    <pivotField showAll="0">
      <items count="5">
        <item x="3"/>
        <item x="1"/>
        <item x="0"/>
        <item x="2"/>
        <item t="default"/>
      </items>
    </pivotField>
    <pivotField numFmtId="164" showAll="0"/>
    <pivotField numFmtId="165" showAll="0"/>
    <pivotField numFmtId="2" showAll="0"/>
    <pivotField dataField="1" numFmtId="166"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4">
    <i>
      <x v="1"/>
    </i>
    <i>
      <x v="2"/>
    </i>
    <i>
      <x/>
    </i>
    <i t="grand">
      <x/>
    </i>
  </rowItems>
  <colItems count="1">
    <i/>
  </colItems>
  <dataFields count="1">
    <dataField name="Total Revenue" fld="7" baseField="8" baseItem="1" numFmtId="1"/>
  </dataFields>
  <formats count="2">
    <format dxfId="38">
      <pivotArea dataOnly="0" labelOnly="1" outline="0" axis="axisValues" fieldPosition="0"/>
    </format>
    <format dxfId="3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8" count="1" selected="0">
            <x v="1"/>
          </reference>
        </references>
      </pivotArea>
    </chartFormat>
    <chartFormat chart="24" format="7">
      <pivotArea type="data" outline="0" fieldPosition="0">
        <references count="2">
          <reference field="4294967294" count="1" selected="0">
            <x v="0"/>
          </reference>
          <reference field="8" count="1" selected="0">
            <x v="2"/>
          </reference>
        </references>
      </pivotArea>
    </chartFormat>
    <chartFormat chart="24" format="8">
      <pivotArea type="data" outline="0" fieldPosition="0">
        <references count="2">
          <reference field="4294967294" count="1" selected="0">
            <x v="0"/>
          </reference>
          <reference field="8"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795158-915D-407F-8D8B-AB8144B8778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location ref="A3:B14" firstHeaderRow="1" firstDataRow="1" firstDataCol="1"/>
  <pivotFields count="10">
    <pivotField showAll="0"/>
    <pivotField axis="axisRow" showAll="0" sortType="descending">
      <items count="11">
        <item x="9"/>
        <item x="8"/>
        <item x="6"/>
        <item x="4"/>
        <item x="2"/>
        <item x="3"/>
        <item x="5"/>
        <item x="0"/>
        <item x="7"/>
        <item x="1"/>
        <item t="default"/>
      </items>
      <autoSortScope>
        <pivotArea dataOnly="0" outline="0" fieldPosition="0">
          <references count="1">
            <reference field="4294967294" count="1" selected="0">
              <x v="0"/>
            </reference>
          </references>
        </pivotArea>
      </autoSortScope>
    </pivotField>
    <pivotField numFmtId="14" showAll="0"/>
    <pivotField showAll="0">
      <items count="5">
        <item x="3"/>
        <item x="1"/>
        <item x="0"/>
        <item x="2"/>
        <item t="default"/>
      </items>
    </pivotField>
    <pivotField numFmtId="164" showAll="0"/>
    <pivotField numFmtId="165" showAll="0"/>
    <pivotField dataField="1" numFmtId="2" showAll="0"/>
    <pivotField numFmtId="166" showAll="0"/>
    <pivotField showAll="0">
      <items count="4">
        <item x="2"/>
        <item x="1"/>
        <item x="0"/>
        <item t="default"/>
      </items>
    </pivotField>
    <pivotField showAll="0"/>
  </pivotFields>
  <rowFields count="1">
    <field x="1"/>
  </rowFields>
  <rowItems count="11">
    <i>
      <x v="3"/>
    </i>
    <i>
      <x v="6"/>
    </i>
    <i>
      <x v="7"/>
    </i>
    <i>
      <x/>
    </i>
    <i>
      <x v="1"/>
    </i>
    <i>
      <x v="9"/>
    </i>
    <i>
      <x v="5"/>
    </i>
    <i>
      <x v="4"/>
    </i>
    <i>
      <x v="2"/>
    </i>
    <i>
      <x v="8"/>
    </i>
    <i t="grand">
      <x/>
    </i>
  </rowItems>
  <colItems count="1">
    <i/>
  </colItems>
  <dataFields count="1">
    <dataField name="Total Energy (kWh)" fld="6" baseField="1" baseItem="3" numFmtId="167"/>
  </dataFields>
  <formats count="2">
    <format dxfId="36">
      <pivotArea dataOnly="0" labelOnly="1" outline="0" axis="axisValues" fieldPosition="0"/>
    </format>
    <format dxfId="3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01DB7E-18F6-49F4-A68B-A72DC46AB7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our">
  <location ref="A3:B19" firstHeaderRow="1" firstDataRow="1" firstDataCol="1"/>
  <pivotFields count="10">
    <pivotField dataField="1" showAll="0"/>
    <pivotField showAll="0">
      <items count="11">
        <item x="9"/>
        <item x="8"/>
        <item x="6"/>
        <item x="4"/>
        <item x="2"/>
        <item x="3"/>
        <item x="5"/>
        <item x="0"/>
        <item x="7"/>
        <item x="1"/>
        <item t="default"/>
      </items>
    </pivotField>
    <pivotField numFmtId="14" showAll="0"/>
    <pivotField showAll="0">
      <items count="5">
        <item x="3"/>
        <item x="1"/>
        <item x="0"/>
        <item x="2"/>
        <item t="default"/>
      </items>
    </pivotField>
    <pivotField numFmtId="164" showAll="0"/>
    <pivotField numFmtId="165" showAll="0"/>
    <pivotField numFmtId="2" showAll="0"/>
    <pivotField numFmtId="166" showAll="0"/>
    <pivotField showAll="0">
      <items count="4">
        <item x="2"/>
        <item x="1"/>
        <item x="0"/>
        <item t="default"/>
      </items>
    </pivotField>
    <pivotField axis="axisRow" showAll="0">
      <items count="16">
        <item x="5"/>
        <item x="11"/>
        <item x="4"/>
        <item x="6"/>
        <item x="3"/>
        <item x="2"/>
        <item x="0"/>
        <item x="14"/>
        <item x="10"/>
        <item x="1"/>
        <item x="12"/>
        <item x="7"/>
        <item x="9"/>
        <item x="13"/>
        <item x="8"/>
        <item t="default"/>
      </items>
    </pivotField>
  </pivotFields>
  <rowFields count="1">
    <field x="9"/>
  </rowFields>
  <rowItems count="16">
    <i>
      <x/>
    </i>
    <i>
      <x v="1"/>
    </i>
    <i>
      <x v="2"/>
    </i>
    <i>
      <x v="3"/>
    </i>
    <i>
      <x v="4"/>
    </i>
    <i>
      <x v="5"/>
    </i>
    <i>
      <x v="6"/>
    </i>
    <i>
      <x v="7"/>
    </i>
    <i>
      <x v="8"/>
    </i>
    <i>
      <x v="9"/>
    </i>
    <i>
      <x v="10"/>
    </i>
    <i>
      <x v="11"/>
    </i>
    <i>
      <x v="12"/>
    </i>
    <i>
      <x v="13"/>
    </i>
    <i>
      <x v="14"/>
    </i>
    <i t="grand">
      <x/>
    </i>
  </rowItems>
  <colItems count="1">
    <i/>
  </colItems>
  <dataFields count="1">
    <dataField name="Charging Sessions" fld="0" subtotal="count" baseField="9" baseItem="0"/>
  </dataFields>
  <formats count="1">
    <format dxfId="3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D23EBA26-598B-4A93-9E5F-23C639EDD1B3}" sourceName="Payment_Method">
  <pivotTables>
    <pivotTable tabId="2" name="PivotTable1"/>
    <pivotTable tabId="3" name="PivotTable2"/>
    <pivotTable tabId="4" name="PivotTable3"/>
    <pivotTable tabId="5" name="PivotTable4"/>
    <pivotTable tabId="8" name="PivotTable3"/>
  </pivotTables>
  <data>
    <tabular pivotCacheId="194649934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1" xr10:uid="{A71BD2AB-E5F7-4F95-9A19-7422423C5EFC}" sourceName="Vehicle_Type">
  <pivotTables>
    <pivotTable tabId="2" name="PivotTable1"/>
    <pivotTable tabId="3" name="PivotTable2"/>
    <pivotTable tabId="4" name="PivotTable3"/>
    <pivotTable tabId="5" name="PivotTable4"/>
    <pivotTable tabId="8" name="PivotTable3"/>
  </pivotTables>
  <data>
    <tabular pivotCacheId="1946499346">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93703855-E14E-4547-958C-F67938BAB914}" sourceName="City">
  <pivotTables>
    <pivotTable tabId="2" name="PivotTable1"/>
    <pivotTable tabId="3" name="PivotTable2"/>
    <pivotTable tabId="4" name="PivotTable3"/>
    <pivotTable tabId="5" name="PivotTable4"/>
    <pivotTable tabId="8" name="PivotTable3"/>
  </pivotTables>
  <data>
    <tabular pivotCacheId="1946499346">
      <items count="10">
        <i x="9" s="1"/>
        <i x="8" s="1"/>
        <i x="6" s="1"/>
        <i x="4" s="1"/>
        <i x="2" s="1"/>
        <i x="3" s="1"/>
        <i x="5" s="1"/>
        <i x="0" s="1"/>
        <i x="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92F17ED8-9B4A-4B61-881D-2F2AF60B3685}" cache="Slicer_Payment_Method1" caption="Payment_Method" style="SlicerStyleDark4" rowHeight="234950"/>
  <slicer name="Vehicle_Type 1" xr10:uid="{290F80B5-6CE9-457D-A344-4BE45EE4CE69}" cache="Slicer_Vehicle_Type1" caption="Vehicle_Type" style="SlicerStyleDark4" rowHeight="234950"/>
  <slicer name="City 1" xr10:uid="{E3D14AAB-A658-41FB-B236-D7F68D3851AC}" cache="Slicer_City1" caption="City"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E350B3-2686-45AF-8487-48CB2CFB9B82}" name="Table2" displayName="Table2" ref="A1:J501" totalsRowShown="0">
  <autoFilter ref="A1:J501" xr:uid="{1CE350B3-2686-45AF-8487-48CB2CFB9B82}"/>
  <tableColumns count="10">
    <tableColumn id="1" xr3:uid="{013FC450-D0B4-4E4B-ADE4-18F68E5956B5}" name="Station_ID"/>
    <tableColumn id="2" xr3:uid="{C81E5C85-D406-451C-8E9B-3F76A3A2FD41}" name="City"/>
    <tableColumn id="3" xr3:uid="{5EF97960-D0B2-428D-A0B3-5BCBE052D601}" name="Date" dataDxfId="33"/>
    <tableColumn id="4" xr3:uid="{C75A2AA8-5313-4264-89FF-62AF118E4823}" name="Vehicle_Type"/>
    <tableColumn id="5" xr3:uid="{832D9369-DE1C-4E11-BFAE-835FE0400D1D}" name="Charging_Start_Time" dataDxfId="32"/>
    <tableColumn id="6" xr3:uid="{AF937B3B-3EC9-4C85-9827-97FF89BDE7DA}" name="Charging_End_Time" dataDxfId="31"/>
    <tableColumn id="7" xr3:uid="{F127ABB8-DDFF-4C25-A3DC-AA0997B1F5CC}" name="Energy_Consumed_kWh" dataDxfId="30"/>
    <tableColumn id="8" xr3:uid="{1EE4A4A9-8F67-4DFF-B346-B24BF8346A8D}" name="Cost_INR" dataDxfId="29"/>
    <tableColumn id="9" xr3:uid="{7D807974-6E94-4983-AF74-EB0DEA791F74}" name="Payment_Method"/>
    <tableColumn id="12" xr3:uid="{17D22970-BBAE-4DA4-A640-846CF47CCEEE}" name="Start_Hour" dataDxfId="28">
      <calculatedColumnFormula>HOUR(Table2[[#This Row],[Charging_Start_Time]])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4">
      <a:dk1>
        <a:sysClr val="windowText" lastClr="000000"/>
      </a:dk1>
      <a:lt1>
        <a:sysClr val="window" lastClr="FFFFFF"/>
      </a:lt1>
      <a:dk2>
        <a:srgbClr val="FFFFFF"/>
      </a:dk2>
      <a:lt2>
        <a:srgbClr val="EEECE1"/>
      </a:lt2>
      <a:accent1>
        <a:srgbClr val="4F81BD"/>
      </a:accent1>
      <a:accent2>
        <a:srgbClr val="4F81BD"/>
      </a:accent2>
      <a:accent3>
        <a:srgbClr val="00B050"/>
      </a:accent3>
      <a:accent4>
        <a:srgbClr val="00B050"/>
      </a:accent4>
      <a:accent5>
        <a:srgbClr val="F7964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85EC5-3549-40AA-94D1-CCC71DC5878C}">
  <dimension ref="A3:B14"/>
  <sheetViews>
    <sheetView workbookViewId="0">
      <selection activeCell="A4" sqref="A4"/>
    </sheetView>
  </sheetViews>
  <sheetFormatPr defaultRowHeight="14.4" x14ac:dyDescent="0.3"/>
  <cols>
    <col min="1" max="1" width="10.77734375" bestFit="1" customWidth="1"/>
    <col min="2" max="2" width="13.109375" bestFit="1" customWidth="1"/>
  </cols>
  <sheetData>
    <row r="3" spans="1:2" x14ac:dyDescent="0.3">
      <c r="A3" s="10" t="s">
        <v>1</v>
      </c>
      <c r="B3" t="s">
        <v>527</v>
      </c>
    </row>
    <row r="4" spans="1:2" x14ac:dyDescent="0.3">
      <c r="A4" s="11" t="s">
        <v>26</v>
      </c>
      <c r="B4" s="12">
        <v>34827</v>
      </c>
    </row>
    <row r="5" spans="1:2" x14ac:dyDescent="0.3">
      <c r="A5" s="11" t="s">
        <v>30</v>
      </c>
      <c r="B5" s="12">
        <v>30760</v>
      </c>
    </row>
    <row r="6" spans="1:2" x14ac:dyDescent="0.3">
      <c r="A6" s="11" t="s">
        <v>10</v>
      </c>
      <c r="B6" s="12">
        <v>28630</v>
      </c>
    </row>
    <row r="7" spans="1:2" x14ac:dyDescent="0.3">
      <c r="A7" s="11" t="s">
        <v>52</v>
      </c>
      <c r="B7" s="12">
        <v>27647</v>
      </c>
    </row>
    <row r="8" spans="1:2" x14ac:dyDescent="0.3">
      <c r="A8" s="11" t="s">
        <v>40</v>
      </c>
      <c r="B8" s="12">
        <v>27369</v>
      </c>
    </row>
    <row r="9" spans="1:2" x14ac:dyDescent="0.3">
      <c r="A9" s="11" t="s">
        <v>14</v>
      </c>
      <c r="B9" s="12">
        <v>27030</v>
      </c>
    </row>
    <row r="10" spans="1:2" x14ac:dyDescent="0.3">
      <c r="A10" s="11" t="s">
        <v>20</v>
      </c>
      <c r="B10" s="12">
        <v>22561</v>
      </c>
    </row>
    <row r="11" spans="1:2" x14ac:dyDescent="0.3">
      <c r="A11" s="11" t="s">
        <v>17</v>
      </c>
      <c r="B11" s="12">
        <v>21802</v>
      </c>
    </row>
    <row r="12" spans="1:2" x14ac:dyDescent="0.3">
      <c r="A12" s="11" t="s">
        <v>33</v>
      </c>
      <c r="B12" s="12">
        <v>21457</v>
      </c>
    </row>
    <row r="13" spans="1:2" x14ac:dyDescent="0.3">
      <c r="A13" s="11" t="s">
        <v>37</v>
      </c>
      <c r="B13" s="12">
        <v>21319</v>
      </c>
    </row>
    <row r="14" spans="1:2" x14ac:dyDescent="0.3">
      <c r="A14" s="11" t="s">
        <v>531</v>
      </c>
      <c r="B14" s="12">
        <v>263402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0DFC7-7CDA-4B24-A332-B48F31863AE3}">
  <dimension ref="A3:B8"/>
  <sheetViews>
    <sheetView workbookViewId="0">
      <selection activeCell="A4" sqref="A4"/>
    </sheetView>
  </sheetViews>
  <sheetFormatPr defaultRowHeight="14.4" x14ac:dyDescent="0.3"/>
  <cols>
    <col min="1" max="1" width="13.88671875" bestFit="1" customWidth="1"/>
    <col min="2" max="2" width="15.77734375" bestFit="1" customWidth="1"/>
  </cols>
  <sheetData>
    <row r="3" spans="1:2" x14ac:dyDescent="0.3">
      <c r="A3" s="10" t="s">
        <v>532</v>
      </c>
      <c r="B3" s="2" t="s">
        <v>535</v>
      </c>
    </row>
    <row r="4" spans="1:2" x14ac:dyDescent="0.3">
      <c r="A4" s="11" t="s">
        <v>24</v>
      </c>
      <c r="B4" s="21">
        <v>132</v>
      </c>
    </row>
    <row r="5" spans="1:2" x14ac:dyDescent="0.3">
      <c r="A5" s="11" t="s">
        <v>11</v>
      </c>
      <c r="B5" s="21">
        <v>131</v>
      </c>
    </row>
    <row r="6" spans="1:2" x14ac:dyDescent="0.3">
      <c r="A6" s="11" t="s">
        <v>28</v>
      </c>
      <c r="B6" s="21">
        <v>121</v>
      </c>
    </row>
    <row r="7" spans="1:2" x14ac:dyDescent="0.3">
      <c r="A7" s="11" t="s">
        <v>15</v>
      </c>
      <c r="B7" s="21">
        <v>116</v>
      </c>
    </row>
    <row r="8" spans="1:2" x14ac:dyDescent="0.3">
      <c r="A8" s="11" t="s">
        <v>531</v>
      </c>
      <c r="B8" s="21">
        <v>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0E3D6-D8E8-4E24-A141-745461496C55}">
  <dimension ref="A3:B7"/>
  <sheetViews>
    <sheetView workbookViewId="0">
      <selection activeCell="B17" sqref="B17"/>
    </sheetView>
  </sheetViews>
  <sheetFormatPr defaultRowHeight="14.4" x14ac:dyDescent="0.3"/>
  <cols>
    <col min="1" max="1" width="18.109375" bestFit="1" customWidth="1"/>
    <col min="2" max="2" width="13.109375" bestFit="1" customWidth="1"/>
  </cols>
  <sheetData>
    <row r="3" spans="1:2" x14ac:dyDescent="0.3">
      <c r="A3" s="10" t="s">
        <v>533</v>
      </c>
      <c r="B3" s="5" t="s">
        <v>527</v>
      </c>
    </row>
    <row r="4" spans="1:2" x14ac:dyDescent="0.3">
      <c r="A4" s="11" t="s">
        <v>18</v>
      </c>
      <c r="B4" s="13">
        <v>94268</v>
      </c>
    </row>
    <row r="5" spans="1:2" x14ac:dyDescent="0.3">
      <c r="A5" s="11" t="s">
        <v>12</v>
      </c>
      <c r="B5" s="13">
        <v>85600</v>
      </c>
    </row>
    <row r="6" spans="1:2" x14ac:dyDescent="0.3">
      <c r="A6" s="11" t="s">
        <v>22</v>
      </c>
      <c r="B6" s="13">
        <v>83534</v>
      </c>
    </row>
    <row r="7" spans="1:2" x14ac:dyDescent="0.3">
      <c r="A7" s="11" t="s">
        <v>531</v>
      </c>
      <c r="B7" s="13">
        <v>263402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E60A6-D1D2-4B70-B399-8F9A3E12C790}">
  <dimension ref="A3:B14"/>
  <sheetViews>
    <sheetView workbookViewId="0">
      <selection activeCell="A4" sqref="A4"/>
    </sheetView>
  </sheetViews>
  <sheetFormatPr defaultRowHeight="14.4" x14ac:dyDescent="0.3"/>
  <cols>
    <col min="1" max="1" width="10.77734375" bestFit="1" customWidth="1"/>
    <col min="2" max="2" width="17.33203125" bestFit="1" customWidth="1"/>
  </cols>
  <sheetData>
    <row r="3" spans="1:2" x14ac:dyDescent="0.3">
      <c r="A3" s="10" t="s">
        <v>1</v>
      </c>
      <c r="B3" s="2" t="s">
        <v>536</v>
      </c>
    </row>
    <row r="4" spans="1:2" x14ac:dyDescent="0.3">
      <c r="A4" s="11" t="s">
        <v>26</v>
      </c>
      <c r="B4" s="14">
        <v>3482.7000000000007</v>
      </c>
    </row>
    <row r="5" spans="1:2" x14ac:dyDescent="0.3">
      <c r="A5" s="11" t="s">
        <v>30</v>
      </c>
      <c r="B5" s="14">
        <v>3076.0000000000005</v>
      </c>
    </row>
    <row r="6" spans="1:2" x14ac:dyDescent="0.3">
      <c r="A6" s="11" t="s">
        <v>10</v>
      </c>
      <c r="B6" s="14">
        <v>2863</v>
      </c>
    </row>
    <row r="7" spans="1:2" x14ac:dyDescent="0.3">
      <c r="A7" s="11" t="s">
        <v>52</v>
      </c>
      <c r="B7" s="14">
        <v>2764.6999999999989</v>
      </c>
    </row>
    <row r="8" spans="1:2" x14ac:dyDescent="0.3">
      <c r="A8" s="11" t="s">
        <v>40</v>
      </c>
      <c r="B8" s="14">
        <v>2736.9</v>
      </c>
    </row>
    <row r="9" spans="1:2" x14ac:dyDescent="0.3">
      <c r="A9" s="11" t="s">
        <v>14</v>
      </c>
      <c r="B9" s="14">
        <v>2702.9999999999995</v>
      </c>
    </row>
    <row r="10" spans="1:2" x14ac:dyDescent="0.3">
      <c r="A10" s="11" t="s">
        <v>20</v>
      </c>
      <c r="B10" s="14">
        <v>2256.0999999999995</v>
      </c>
    </row>
    <row r="11" spans="1:2" x14ac:dyDescent="0.3">
      <c r="A11" s="11" t="s">
        <v>17</v>
      </c>
      <c r="B11" s="14">
        <v>2180.2000000000003</v>
      </c>
    </row>
    <row r="12" spans="1:2" x14ac:dyDescent="0.3">
      <c r="A12" s="11" t="s">
        <v>33</v>
      </c>
      <c r="B12" s="14">
        <v>2145.7000000000003</v>
      </c>
    </row>
    <row r="13" spans="1:2" x14ac:dyDescent="0.3">
      <c r="A13" s="11" t="s">
        <v>37</v>
      </c>
      <c r="B13" s="14">
        <v>2131.8999999999996</v>
      </c>
    </row>
    <row r="14" spans="1:2" x14ac:dyDescent="0.3">
      <c r="A14" s="11" t="s">
        <v>531</v>
      </c>
      <c r="B14" s="14">
        <v>26340.199999999997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289BF-97E9-4F82-AFED-E6E78AE85186}">
  <dimension ref="A3:B19"/>
  <sheetViews>
    <sheetView workbookViewId="0">
      <selection activeCell="I23" sqref="I23"/>
    </sheetView>
  </sheetViews>
  <sheetFormatPr defaultRowHeight="14.4" x14ac:dyDescent="0.3"/>
  <cols>
    <col min="1" max="1" width="10.77734375" bestFit="1" customWidth="1"/>
    <col min="2" max="2" width="16" bestFit="1" customWidth="1"/>
  </cols>
  <sheetData>
    <row r="3" spans="1:2" x14ac:dyDescent="0.3">
      <c r="A3" s="10" t="s">
        <v>538</v>
      </c>
      <c r="B3" s="2" t="s">
        <v>537</v>
      </c>
    </row>
    <row r="4" spans="1:2" x14ac:dyDescent="0.3">
      <c r="A4" s="11">
        <v>6</v>
      </c>
      <c r="B4" s="21">
        <v>41</v>
      </c>
    </row>
    <row r="5" spans="1:2" x14ac:dyDescent="0.3">
      <c r="A5" s="11">
        <v>7</v>
      </c>
      <c r="B5" s="21">
        <v>39</v>
      </c>
    </row>
    <row r="6" spans="1:2" x14ac:dyDescent="0.3">
      <c r="A6" s="11">
        <v>8</v>
      </c>
      <c r="B6" s="21">
        <v>37</v>
      </c>
    </row>
    <row r="7" spans="1:2" x14ac:dyDescent="0.3">
      <c r="A7" s="11">
        <v>9</v>
      </c>
      <c r="B7" s="21">
        <v>24</v>
      </c>
    </row>
    <row r="8" spans="1:2" x14ac:dyDescent="0.3">
      <c r="A8" s="11">
        <v>10</v>
      </c>
      <c r="B8" s="21">
        <v>33</v>
      </c>
    </row>
    <row r="9" spans="1:2" x14ac:dyDescent="0.3">
      <c r="A9" s="11">
        <v>11</v>
      </c>
      <c r="B9" s="21">
        <v>34</v>
      </c>
    </row>
    <row r="10" spans="1:2" x14ac:dyDescent="0.3">
      <c r="A10" s="11">
        <v>12</v>
      </c>
      <c r="B10" s="21">
        <v>26</v>
      </c>
    </row>
    <row r="11" spans="1:2" x14ac:dyDescent="0.3">
      <c r="A11" s="11">
        <v>13</v>
      </c>
      <c r="B11" s="21">
        <v>30</v>
      </c>
    </row>
    <row r="12" spans="1:2" x14ac:dyDescent="0.3">
      <c r="A12" s="11">
        <v>14</v>
      </c>
      <c r="B12" s="21">
        <v>37</v>
      </c>
    </row>
    <row r="13" spans="1:2" x14ac:dyDescent="0.3">
      <c r="A13" s="11">
        <v>15</v>
      </c>
      <c r="B13" s="21">
        <v>35</v>
      </c>
    </row>
    <row r="14" spans="1:2" x14ac:dyDescent="0.3">
      <c r="A14" s="11">
        <v>16</v>
      </c>
      <c r="B14" s="21">
        <v>35</v>
      </c>
    </row>
    <row r="15" spans="1:2" x14ac:dyDescent="0.3">
      <c r="A15" s="11">
        <v>17</v>
      </c>
      <c r="B15" s="21">
        <v>35</v>
      </c>
    </row>
    <row r="16" spans="1:2" x14ac:dyDescent="0.3">
      <c r="A16" s="11">
        <v>18</v>
      </c>
      <c r="B16" s="21">
        <v>39</v>
      </c>
    </row>
    <row r="17" spans="1:2" x14ac:dyDescent="0.3">
      <c r="A17" s="11">
        <v>19</v>
      </c>
      <c r="B17" s="21">
        <v>34</v>
      </c>
    </row>
    <row r="18" spans="1:2" x14ac:dyDescent="0.3">
      <c r="A18" s="11">
        <v>20</v>
      </c>
      <c r="B18" s="21">
        <v>21</v>
      </c>
    </row>
    <row r="19" spans="1:2" x14ac:dyDescent="0.3">
      <c r="A19" s="11" t="s">
        <v>531</v>
      </c>
      <c r="B19" s="21">
        <v>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76A5E-4407-4564-BC18-BA4A8C5E38BE}">
  <dimension ref="A1:P501"/>
  <sheetViews>
    <sheetView topLeftCell="J1" workbookViewId="0">
      <pane ySplit="1" topLeftCell="A2" activePane="bottomLeft" state="frozen"/>
      <selection pane="bottomLeft" activeCell="L1" sqref="L1"/>
    </sheetView>
  </sheetViews>
  <sheetFormatPr defaultRowHeight="14.4" x14ac:dyDescent="0.3"/>
  <cols>
    <col min="1" max="1" width="11.6640625" customWidth="1"/>
    <col min="2" max="2" width="10.6640625" bestFit="1" customWidth="1"/>
    <col min="3" max="3" width="10.5546875" style="1" bestFit="1" customWidth="1"/>
    <col min="4" max="4" width="14.109375" customWidth="1"/>
    <col min="5" max="5" width="20.44140625" style="3" customWidth="1"/>
    <col min="6" max="6" width="19.6640625" style="4" customWidth="1"/>
    <col min="7" max="7" width="23.5546875" style="2" customWidth="1"/>
    <col min="8" max="8" width="10.5546875" style="5" customWidth="1"/>
    <col min="9" max="9" width="18.21875" customWidth="1"/>
    <col min="10" max="10" width="10.109375" bestFit="1" customWidth="1"/>
    <col min="11" max="12" width="20.77734375" bestFit="1" customWidth="1"/>
    <col min="13" max="13" width="13.109375" bestFit="1" customWidth="1"/>
    <col min="14" max="14" width="21.109375" bestFit="1" customWidth="1"/>
    <col min="15" max="15" width="20.109375" bestFit="1" customWidth="1"/>
    <col min="16" max="16" width="24.33203125" bestFit="1" customWidth="1"/>
  </cols>
  <sheetData>
    <row r="1" spans="1:16" x14ac:dyDescent="0.3">
      <c r="A1" t="s">
        <v>0</v>
      </c>
      <c r="B1" t="s">
        <v>1</v>
      </c>
      <c r="C1" s="1" t="s">
        <v>2</v>
      </c>
      <c r="D1" t="s">
        <v>3</v>
      </c>
      <c r="E1" s="3" t="s">
        <v>4</v>
      </c>
      <c r="F1" s="4" t="s">
        <v>5</v>
      </c>
      <c r="G1" s="2" t="s">
        <v>6</v>
      </c>
      <c r="H1" s="5" t="s">
        <v>7</v>
      </c>
      <c r="I1" t="s">
        <v>8</v>
      </c>
      <c r="J1" t="s">
        <v>534</v>
      </c>
    </row>
    <row r="2" spans="1:16" x14ac:dyDescent="0.3">
      <c r="A2" t="s">
        <v>9</v>
      </c>
      <c r="B2" t="s">
        <v>10</v>
      </c>
      <c r="C2" s="1">
        <v>45945</v>
      </c>
      <c r="D2" t="s">
        <v>11</v>
      </c>
      <c r="E2" s="3">
        <v>0.50972222222222219</v>
      </c>
      <c r="F2" s="4">
        <v>0.58125000000000004</v>
      </c>
      <c r="G2" s="2">
        <v>96.2</v>
      </c>
      <c r="H2" s="5">
        <v>962</v>
      </c>
      <c r="I2" t="s">
        <v>12</v>
      </c>
      <c r="J2">
        <f>HOUR(Table2[[#This Row],[Charging_Start_Time]])</f>
        <v>12</v>
      </c>
      <c r="L2" s="6" t="s">
        <v>526</v>
      </c>
      <c r="M2" s="6" t="s">
        <v>527</v>
      </c>
      <c r="N2" s="6" t="s">
        <v>528</v>
      </c>
      <c r="O2" s="6" t="s">
        <v>529</v>
      </c>
      <c r="P2" s="6" t="s">
        <v>530</v>
      </c>
    </row>
    <row r="3" spans="1:16" x14ac:dyDescent="0.3">
      <c r="A3" t="s">
        <v>13</v>
      </c>
      <c r="B3" t="s">
        <v>14</v>
      </c>
      <c r="C3" s="1">
        <v>45945</v>
      </c>
      <c r="D3" t="s">
        <v>15</v>
      </c>
      <c r="E3" s="3">
        <v>0.64375000000000004</v>
      </c>
      <c r="F3" s="4">
        <v>0.72638888888888886</v>
      </c>
      <c r="G3" s="2">
        <v>59.2</v>
      </c>
      <c r="H3" s="5">
        <v>592</v>
      </c>
      <c r="I3" t="s">
        <v>12</v>
      </c>
      <c r="J3">
        <f>HOUR(Table2[[#This Row],[Charging_Start_Time]])</f>
        <v>15</v>
      </c>
      <c r="L3" s="7">
        <f>COUNTA(A:A)-1</f>
        <v>500</v>
      </c>
      <c r="M3" s="8">
        <f>SUM(H:H)</f>
        <v>263402</v>
      </c>
      <c r="N3" s="9">
        <f>SUM(G:G)</f>
        <v>26340.200000000004</v>
      </c>
      <c r="O3" s="8">
        <f>AVERAGE(H:H)</f>
        <v>526.80399999999997</v>
      </c>
      <c r="P3" s="9">
        <f>AVERAGE(G:G)</f>
        <v>52.680400000000006</v>
      </c>
    </row>
    <row r="4" spans="1:16" x14ac:dyDescent="0.3">
      <c r="A4" t="s">
        <v>16</v>
      </c>
      <c r="B4" t="s">
        <v>17</v>
      </c>
      <c r="C4" s="1">
        <v>45945</v>
      </c>
      <c r="D4" t="s">
        <v>11</v>
      </c>
      <c r="E4" s="3">
        <v>0.47847222222222224</v>
      </c>
      <c r="F4" s="4">
        <v>0.50555555555555554</v>
      </c>
      <c r="G4" s="2">
        <v>59.8</v>
      </c>
      <c r="H4" s="5">
        <v>598</v>
      </c>
      <c r="I4" t="s">
        <v>18</v>
      </c>
      <c r="J4">
        <f>HOUR(Table2[[#This Row],[Charging_Start_Time]])</f>
        <v>11</v>
      </c>
    </row>
    <row r="5" spans="1:16" x14ac:dyDescent="0.3">
      <c r="A5" t="s">
        <v>19</v>
      </c>
      <c r="B5" t="s">
        <v>20</v>
      </c>
      <c r="C5" s="1">
        <v>45945</v>
      </c>
      <c r="D5" t="s">
        <v>15</v>
      </c>
      <c r="E5" s="3">
        <v>0.42499999999999999</v>
      </c>
      <c r="F5" s="4">
        <v>0.48958333333333331</v>
      </c>
      <c r="G5" s="2">
        <v>38.299999999999997</v>
      </c>
      <c r="H5" s="5">
        <v>383</v>
      </c>
      <c r="I5" t="s">
        <v>18</v>
      </c>
      <c r="J5">
        <f>HOUR(Table2[[#This Row],[Charging_Start_Time]])</f>
        <v>10</v>
      </c>
    </row>
    <row r="6" spans="1:16" x14ac:dyDescent="0.3">
      <c r="A6" t="s">
        <v>21</v>
      </c>
      <c r="B6" t="s">
        <v>20</v>
      </c>
      <c r="C6" s="1">
        <v>45945</v>
      </c>
      <c r="D6" t="s">
        <v>11</v>
      </c>
      <c r="E6" s="3">
        <v>0.42986111111111114</v>
      </c>
      <c r="F6" s="4">
        <v>0.46041666666666664</v>
      </c>
      <c r="G6" s="2">
        <v>48.9</v>
      </c>
      <c r="H6" s="5">
        <v>489</v>
      </c>
      <c r="I6" t="s">
        <v>22</v>
      </c>
      <c r="J6">
        <f>HOUR(Table2[[#This Row],[Charging_Start_Time]])</f>
        <v>10</v>
      </c>
    </row>
    <row r="7" spans="1:16" x14ac:dyDescent="0.3">
      <c r="A7" t="s">
        <v>23</v>
      </c>
      <c r="B7" t="s">
        <v>17</v>
      </c>
      <c r="C7" s="1">
        <v>45945</v>
      </c>
      <c r="D7" t="s">
        <v>24</v>
      </c>
      <c r="E7" s="3">
        <v>0.34791666666666665</v>
      </c>
      <c r="F7" s="4">
        <v>0.40277777777777779</v>
      </c>
      <c r="G7" s="2">
        <v>95.6</v>
      </c>
      <c r="H7" s="5">
        <v>956</v>
      </c>
      <c r="I7" t="s">
        <v>12</v>
      </c>
      <c r="J7">
        <f>HOUR(Table2[[#This Row],[Charging_Start_Time]])</f>
        <v>8</v>
      </c>
    </row>
    <row r="8" spans="1:16" x14ac:dyDescent="0.3">
      <c r="A8" t="s">
        <v>25</v>
      </c>
      <c r="B8" t="s">
        <v>26</v>
      </c>
      <c r="C8" s="1">
        <v>45945</v>
      </c>
      <c r="D8" t="s">
        <v>24</v>
      </c>
      <c r="E8" s="3">
        <v>0.25277777777777777</v>
      </c>
      <c r="F8" s="4">
        <v>0.36388888888888887</v>
      </c>
      <c r="G8" s="2">
        <v>77.900000000000006</v>
      </c>
      <c r="H8" s="5">
        <v>779</v>
      </c>
      <c r="I8" t="s">
        <v>22</v>
      </c>
      <c r="J8">
        <f>HOUR(Table2[[#This Row],[Charging_Start_Time]])</f>
        <v>6</v>
      </c>
    </row>
    <row r="9" spans="1:16" x14ac:dyDescent="0.3">
      <c r="A9" t="s">
        <v>27</v>
      </c>
      <c r="B9" t="s">
        <v>20</v>
      </c>
      <c r="C9" s="1">
        <v>45945</v>
      </c>
      <c r="D9" t="s">
        <v>28</v>
      </c>
      <c r="E9" s="3">
        <v>0.40833333333333333</v>
      </c>
      <c r="F9" s="4">
        <v>0.47708333333333336</v>
      </c>
      <c r="G9" s="2">
        <v>62.2</v>
      </c>
      <c r="H9" s="5">
        <v>622</v>
      </c>
      <c r="I9" t="s">
        <v>22</v>
      </c>
      <c r="J9">
        <f>HOUR(Table2[[#This Row],[Charging_Start_Time]])</f>
        <v>9</v>
      </c>
    </row>
    <row r="10" spans="1:16" x14ac:dyDescent="0.3">
      <c r="A10" t="s">
        <v>29</v>
      </c>
      <c r="B10" t="s">
        <v>30</v>
      </c>
      <c r="C10" s="1">
        <v>45945</v>
      </c>
      <c r="D10" t="s">
        <v>11</v>
      </c>
      <c r="E10" s="3">
        <v>0.71736111111111112</v>
      </c>
      <c r="F10" s="4">
        <v>0.7944444444444444</v>
      </c>
      <c r="G10" s="2">
        <v>29.3</v>
      </c>
      <c r="H10" s="5">
        <v>293</v>
      </c>
      <c r="I10" t="s">
        <v>12</v>
      </c>
      <c r="J10">
        <f>HOUR(Table2[[#This Row],[Charging_Start_Time]])</f>
        <v>17</v>
      </c>
    </row>
    <row r="11" spans="1:16" x14ac:dyDescent="0.3">
      <c r="A11" t="s">
        <v>31</v>
      </c>
      <c r="B11" t="s">
        <v>14</v>
      </c>
      <c r="C11" s="1">
        <v>45945</v>
      </c>
      <c r="D11" t="s">
        <v>15</v>
      </c>
      <c r="E11" s="3">
        <v>0.85972222222222228</v>
      </c>
      <c r="F11" s="4">
        <v>0.98333333333333328</v>
      </c>
      <c r="G11" s="2">
        <v>35.1</v>
      </c>
      <c r="H11" s="5">
        <v>351</v>
      </c>
      <c r="I11" t="s">
        <v>12</v>
      </c>
      <c r="J11">
        <f>HOUR(Table2[[#This Row],[Charging_Start_Time]])</f>
        <v>20</v>
      </c>
    </row>
    <row r="12" spans="1:16" x14ac:dyDescent="0.3">
      <c r="A12" t="s">
        <v>32</v>
      </c>
      <c r="B12" t="s">
        <v>33</v>
      </c>
      <c r="C12" s="1">
        <v>45945</v>
      </c>
      <c r="D12" t="s">
        <v>24</v>
      </c>
      <c r="E12" s="3">
        <v>0.76249999999999996</v>
      </c>
      <c r="F12" s="4">
        <v>0.78749999999999998</v>
      </c>
      <c r="G12" s="2">
        <v>3.2</v>
      </c>
      <c r="H12" s="5">
        <v>32</v>
      </c>
      <c r="I12" t="s">
        <v>12</v>
      </c>
      <c r="J12">
        <f>HOUR(Table2[[#This Row],[Charging_Start_Time]])</f>
        <v>18</v>
      </c>
    </row>
    <row r="13" spans="1:16" x14ac:dyDescent="0.3">
      <c r="A13" t="s">
        <v>34</v>
      </c>
      <c r="B13" t="s">
        <v>10</v>
      </c>
      <c r="C13" s="1">
        <v>45945</v>
      </c>
      <c r="D13" t="s">
        <v>15</v>
      </c>
      <c r="E13" s="3">
        <v>0.58680555555555558</v>
      </c>
      <c r="F13" s="4">
        <v>0.65555555555555556</v>
      </c>
      <c r="G13" s="2">
        <v>69.900000000000006</v>
      </c>
      <c r="H13" s="5">
        <v>699</v>
      </c>
      <c r="I13" t="s">
        <v>18</v>
      </c>
      <c r="J13">
        <f>HOUR(Table2[[#This Row],[Charging_Start_Time]])</f>
        <v>14</v>
      </c>
    </row>
    <row r="14" spans="1:16" x14ac:dyDescent="0.3">
      <c r="A14" t="s">
        <v>35</v>
      </c>
      <c r="B14" t="s">
        <v>17</v>
      </c>
      <c r="C14" s="1">
        <v>45945</v>
      </c>
      <c r="D14" t="s">
        <v>11</v>
      </c>
      <c r="E14" s="3">
        <v>0.31736111111111109</v>
      </c>
      <c r="F14" s="4">
        <v>0.4236111111111111</v>
      </c>
      <c r="G14" s="2">
        <v>85.8</v>
      </c>
      <c r="H14" s="5">
        <v>858</v>
      </c>
      <c r="I14" t="s">
        <v>22</v>
      </c>
      <c r="J14">
        <f>HOUR(Table2[[#This Row],[Charging_Start_Time]])</f>
        <v>7</v>
      </c>
    </row>
    <row r="15" spans="1:16" x14ac:dyDescent="0.3">
      <c r="A15" t="s">
        <v>36</v>
      </c>
      <c r="B15" t="s">
        <v>37</v>
      </c>
      <c r="C15" s="1">
        <v>45945</v>
      </c>
      <c r="D15" t="s">
        <v>28</v>
      </c>
      <c r="E15" s="3">
        <v>0.33124999999999999</v>
      </c>
      <c r="F15" s="4">
        <v>0.39374999999999999</v>
      </c>
      <c r="G15" s="2">
        <v>77.400000000000006</v>
      </c>
      <c r="H15" s="5">
        <v>774</v>
      </c>
      <c r="I15" t="s">
        <v>12</v>
      </c>
      <c r="J15">
        <f>HOUR(Table2[[#This Row],[Charging_Start_Time]])</f>
        <v>7</v>
      </c>
    </row>
    <row r="16" spans="1:16" x14ac:dyDescent="0.3">
      <c r="A16" t="s">
        <v>38</v>
      </c>
      <c r="B16" t="s">
        <v>14</v>
      </c>
      <c r="C16" s="1">
        <v>45945</v>
      </c>
      <c r="D16" t="s">
        <v>15</v>
      </c>
      <c r="E16" s="3">
        <v>0.25624999999999998</v>
      </c>
      <c r="F16" s="4">
        <v>0.30555555555555558</v>
      </c>
      <c r="G16" s="2">
        <v>58.3</v>
      </c>
      <c r="H16" s="5">
        <v>583</v>
      </c>
      <c r="I16" t="s">
        <v>12</v>
      </c>
      <c r="J16">
        <f>HOUR(Table2[[#This Row],[Charging_Start_Time]])</f>
        <v>6</v>
      </c>
    </row>
    <row r="17" spans="1:10" x14ac:dyDescent="0.3">
      <c r="A17" t="s">
        <v>39</v>
      </c>
      <c r="B17" t="s">
        <v>40</v>
      </c>
      <c r="C17" s="1">
        <v>45945</v>
      </c>
      <c r="D17" t="s">
        <v>15</v>
      </c>
      <c r="E17" s="3">
        <v>0.67013888888888884</v>
      </c>
      <c r="F17" s="4">
        <v>0.77430555555555558</v>
      </c>
      <c r="G17" s="2">
        <v>81.099999999999994</v>
      </c>
      <c r="H17" s="5">
        <v>811</v>
      </c>
      <c r="I17" t="s">
        <v>12</v>
      </c>
      <c r="J17">
        <f>HOUR(Table2[[#This Row],[Charging_Start_Time]])</f>
        <v>16</v>
      </c>
    </row>
    <row r="18" spans="1:10" x14ac:dyDescent="0.3">
      <c r="A18" t="s">
        <v>41</v>
      </c>
      <c r="B18" t="s">
        <v>30</v>
      </c>
      <c r="C18" s="1">
        <v>45945</v>
      </c>
      <c r="D18" t="s">
        <v>11</v>
      </c>
      <c r="E18" s="3">
        <v>0.53125</v>
      </c>
      <c r="F18" s="4">
        <v>0.64513888888888893</v>
      </c>
      <c r="G18" s="2">
        <v>55.9</v>
      </c>
      <c r="H18" s="5">
        <v>559</v>
      </c>
      <c r="I18" t="s">
        <v>12</v>
      </c>
      <c r="J18">
        <f>HOUR(Table2[[#This Row],[Charging_Start_Time]])</f>
        <v>12</v>
      </c>
    </row>
    <row r="19" spans="1:10" x14ac:dyDescent="0.3">
      <c r="A19" t="s">
        <v>42</v>
      </c>
      <c r="B19" t="s">
        <v>33</v>
      </c>
      <c r="C19" s="1">
        <v>45945</v>
      </c>
      <c r="D19" t="s">
        <v>11</v>
      </c>
      <c r="E19" s="3">
        <v>0.49236111111111114</v>
      </c>
      <c r="F19" s="4">
        <v>0.59791666666666665</v>
      </c>
      <c r="G19" s="2">
        <v>16.899999999999999</v>
      </c>
      <c r="H19" s="5">
        <v>169</v>
      </c>
      <c r="I19" t="s">
        <v>12</v>
      </c>
      <c r="J19">
        <f>HOUR(Table2[[#This Row],[Charging_Start_Time]])</f>
        <v>11</v>
      </c>
    </row>
    <row r="20" spans="1:10" x14ac:dyDescent="0.3">
      <c r="A20" t="s">
        <v>43</v>
      </c>
      <c r="B20" t="s">
        <v>33</v>
      </c>
      <c r="C20" s="1">
        <v>45945</v>
      </c>
      <c r="D20" t="s">
        <v>15</v>
      </c>
      <c r="E20" s="3">
        <v>0.34375</v>
      </c>
      <c r="F20" s="4">
        <v>0.45694444444444443</v>
      </c>
      <c r="G20" s="2">
        <v>40.799999999999997</v>
      </c>
      <c r="H20" s="5">
        <v>408</v>
      </c>
      <c r="I20" t="s">
        <v>18</v>
      </c>
      <c r="J20">
        <f>HOUR(Table2[[#This Row],[Charging_Start_Time]])</f>
        <v>8</v>
      </c>
    </row>
    <row r="21" spans="1:10" x14ac:dyDescent="0.3">
      <c r="A21" t="s">
        <v>44</v>
      </c>
      <c r="B21" t="s">
        <v>10</v>
      </c>
      <c r="C21" s="1">
        <v>45945</v>
      </c>
      <c r="D21" t="s">
        <v>11</v>
      </c>
      <c r="E21" s="3">
        <v>0.53888888888888886</v>
      </c>
      <c r="F21" s="4">
        <v>0.55972222222222223</v>
      </c>
      <c r="G21" s="2">
        <v>67.900000000000006</v>
      </c>
      <c r="H21" s="5">
        <v>679</v>
      </c>
      <c r="I21" t="s">
        <v>18</v>
      </c>
      <c r="J21">
        <f>HOUR(Table2[[#This Row],[Charging_Start_Time]])</f>
        <v>12</v>
      </c>
    </row>
    <row r="22" spans="1:10" x14ac:dyDescent="0.3">
      <c r="A22" t="s">
        <v>45</v>
      </c>
      <c r="B22" t="s">
        <v>10</v>
      </c>
      <c r="C22" s="1">
        <v>45945</v>
      </c>
      <c r="D22" t="s">
        <v>15</v>
      </c>
      <c r="E22" s="3">
        <v>0.72569444444444442</v>
      </c>
      <c r="F22" s="4">
        <v>0.82361111111111107</v>
      </c>
      <c r="G22" s="2">
        <v>32.4</v>
      </c>
      <c r="H22" s="5">
        <v>324</v>
      </c>
      <c r="I22" t="s">
        <v>18</v>
      </c>
      <c r="J22">
        <f>HOUR(Table2[[#This Row],[Charging_Start_Time]])</f>
        <v>17</v>
      </c>
    </row>
    <row r="23" spans="1:10" x14ac:dyDescent="0.3">
      <c r="A23" t="s">
        <v>46</v>
      </c>
      <c r="B23" t="s">
        <v>20</v>
      </c>
      <c r="C23" s="1">
        <v>45945</v>
      </c>
      <c r="D23" t="s">
        <v>15</v>
      </c>
      <c r="E23" s="3">
        <v>0.8256944444444444</v>
      </c>
      <c r="F23" s="4">
        <v>0.875</v>
      </c>
      <c r="G23" s="2">
        <v>27.5</v>
      </c>
      <c r="H23" s="5">
        <v>275</v>
      </c>
      <c r="I23" t="s">
        <v>12</v>
      </c>
      <c r="J23">
        <f>HOUR(Table2[[#This Row],[Charging_Start_Time]])</f>
        <v>19</v>
      </c>
    </row>
    <row r="24" spans="1:10" x14ac:dyDescent="0.3">
      <c r="A24" t="s">
        <v>47</v>
      </c>
      <c r="B24" t="s">
        <v>37</v>
      </c>
      <c r="C24" s="1">
        <v>45945</v>
      </c>
      <c r="D24" t="s">
        <v>24</v>
      </c>
      <c r="E24" s="3">
        <v>0.65486111111111112</v>
      </c>
      <c r="F24" s="4">
        <v>0.72569444444444442</v>
      </c>
      <c r="G24" s="2">
        <v>80.8</v>
      </c>
      <c r="H24" s="5">
        <v>808</v>
      </c>
      <c r="I24" t="s">
        <v>22</v>
      </c>
      <c r="J24">
        <f>HOUR(Table2[[#This Row],[Charging_Start_Time]])</f>
        <v>15</v>
      </c>
    </row>
    <row r="25" spans="1:10" x14ac:dyDescent="0.3">
      <c r="A25" t="s">
        <v>48</v>
      </c>
      <c r="B25" t="s">
        <v>30</v>
      </c>
      <c r="C25" s="1">
        <v>45945</v>
      </c>
      <c r="D25" t="s">
        <v>15</v>
      </c>
      <c r="E25" s="3">
        <v>0.4236111111111111</v>
      </c>
      <c r="F25" s="4">
        <v>0.49652777777777779</v>
      </c>
      <c r="G25" s="2">
        <v>49.5</v>
      </c>
      <c r="H25" s="5">
        <v>495</v>
      </c>
      <c r="I25" t="s">
        <v>22</v>
      </c>
      <c r="J25">
        <f>HOUR(Table2[[#This Row],[Charging_Start_Time]])</f>
        <v>10</v>
      </c>
    </row>
    <row r="26" spans="1:10" x14ac:dyDescent="0.3">
      <c r="A26" t="s">
        <v>49</v>
      </c>
      <c r="B26" t="s">
        <v>14</v>
      </c>
      <c r="C26" s="1">
        <v>45945</v>
      </c>
      <c r="D26" t="s">
        <v>15</v>
      </c>
      <c r="E26" s="3">
        <v>0.35625000000000001</v>
      </c>
      <c r="F26" s="4">
        <v>0.44791666666666669</v>
      </c>
      <c r="G26" s="2">
        <v>98.4</v>
      </c>
      <c r="H26" s="5">
        <v>984</v>
      </c>
      <c r="I26" t="s">
        <v>22</v>
      </c>
      <c r="J26">
        <f>HOUR(Table2[[#This Row],[Charging_Start_Time]])</f>
        <v>8</v>
      </c>
    </row>
    <row r="27" spans="1:10" x14ac:dyDescent="0.3">
      <c r="A27" t="s">
        <v>50</v>
      </c>
      <c r="B27" t="s">
        <v>33</v>
      </c>
      <c r="C27" s="1">
        <v>45945</v>
      </c>
      <c r="D27" t="s">
        <v>11</v>
      </c>
      <c r="E27" s="3">
        <v>0.52847222222222223</v>
      </c>
      <c r="F27" s="4">
        <v>0.56597222222222221</v>
      </c>
      <c r="G27" s="2">
        <v>99.8</v>
      </c>
      <c r="H27" s="5">
        <v>998</v>
      </c>
      <c r="I27" t="s">
        <v>22</v>
      </c>
      <c r="J27">
        <f>HOUR(Table2[[#This Row],[Charging_Start_Time]])</f>
        <v>12</v>
      </c>
    </row>
    <row r="28" spans="1:10" x14ac:dyDescent="0.3">
      <c r="A28" t="s">
        <v>51</v>
      </c>
      <c r="B28" t="s">
        <v>52</v>
      </c>
      <c r="C28" s="1">
        <v>45945</v>
      </c>
      <c r="D28" t="s">
        <v>11</v>
      </c>
      <c r="E28" s="3">
        <v>0.25694444444444442</v>
      </c>
      <c r="F28" s="4">
        <v>0.35208333333333336</v>
      </c>
      <c r="G28" s="2">
        <v>76.900000000000006</v>
      </c>
      <c r="H28" s="5">
        <v>769</v>
      </c>
      <c r="I28" t="s">
        <v>18</v>
      </c>
      <c r="J28">
        <f>HOUR(Table2[[#This Row],[Charging_Start_Time]])</f>
        <v>6</v>
      </c>
    </row>
    <row r="29" spans="1:10" x14ac:dyDescent="0.3">
      <c r="A29" t="s">
        <v>53</v>
      </c>
      <c r="B29" t="s">
        <v>17</v>
      </c>
      <c r="C29" s="1">
        <v>45945</v>
      </c>
      <c r="D29" t="s">
        <v>28</v>
      </c>
      <c r="E29" s="3">
        <v>0.80347222222222225</v>
      </c>
      <c r="F29" s="4">
        <v>0.9243055555555556</v>
      </c>
      <c r="G29" s="2">
        <v>89</v>
      </c>
      <c r="H29" s="5">
        <v>890</v>
      </c>
      <c r="I29" t="s">
        <v>12</v>
      </c>
      <c r="J29">
        <f>HOUR(Table2[[#This Row],[Charging_Start_Time]])</f>
        <v>19</v>
      </c>
    </row>
    <row r="30" spans="1:10" x14ac:dyDescent="0.3">
      <c r="A30" t="s">
        <v>54</v>
      </c>
      <c r="B30" t="s">
        <v>40</v>
      </c>
      <c r="C30" s="1">
        <v>45945</v>
      </c>
      <c r="D30" t="s">
        <v>28</v>
      </c>
      <c r="E30" s="3">
        <v>0.8256944444444444</v>
      </c>
      <c r="F30" s="4">
        <v>0.86250000000000004</v>
      </c>
      <c r="G30" s="2">
        <v>86.4</v>
      </c>
      <c r="H30" s="5">
        <v>864</v>
      </c>
      <c r="I30" t="s">
        <v>18</v>
      </c>
      <c r="J30">
        <f>HOUR(Table2[[#This Row],[Charging_Start_Time]])</f>
        <v>19</v>
      </c>
    </row>
    <row r="31" spans="1:10" x14ac:dyDescent="0.3">
      <c r="A31" t="s">
        <v>55</v>
      </c>
      <c r="B31" t="s">
        <v>26</v>
      </c>
      <c r="C31" s="1">
        <v>45945</v>
      </c>
      <c r="D31" t="s">
        <v>28</v>
      </c>
      <c r="E31" s="3">
        <v>0.67013888888888884</v>
      </c>
      <c r="F31" s="4">
        <v>0.7055555555555556</v>
      </c>
      <c r="G31" s="2">
        <v>64.900000000000006</v>
      </c>
      <c r="H31" s="5">
        <v>649</v>
      </c>
      <c r="I31" t="s">
        <v>12</v>
      </c>
      <c r="J31">
        <f>HOUR(Table2[[#This Row],[Charging_Start_Time]])</f>
        <v>16</v>
      </c>
    </row>
    <row r="32" spans="1:10" x14ac:dyDescent="0.3">
      <c r="A32" t="s">
        <v>56</v>
      </c>
      <c r="B32" t="s">
        <v>26</v>
      </c>
      <c r="C32" s="1">
        <v>45945</v>
      </c>
      <c r="D32" t="s">
        <v>24</v>
      </c>
      <c r="E32" s="3">
        <v>0.3263888888888889</v>
      </c>
      <c r="F32" s="4">
        <v>0.43333333333333335</v>
      </c>
      <c r="G32" s="2">
        <v>87.3</v>
      </c>
      <c r="H32" s="5">
        <v>873</v>
      </c>
      <c r="I32" t="s">
        <v>18</v>
      </c>
      <c r="J32">
        <f>HOUR(Table2[[#This Row],[Charging_Start_Time]])</f>
        <v>7</v>
      </c>
    </row>
    <row r="33" spans="1:10" x14ac:dyDescent="0.3">
      <c r="A33" t="s">
        <v>57</v>
      </c>
      <c r="B33" t="s">
        <v>52</v>
      </c>
      <c r="C33" s="1">
        <v>45945</v>
      </c>
      <c r="D33" t="s">
        <v>28</v>
      </c>
      <c r="E33" s="3">
        <v>0.48819444444444443</v>
      </c>
      <c r="F33" s="4">
        <v>0.56041666666666667</v>
      </c>
      <c r="G33" s="2">
        <v>43.3</v>
      </c>
      <c r="H33" s="5">
        <v>433</v>
      </c>
      <c r="I33" t="s">
        <v>22</v>
      </c>
      <c r="J33">
        <f>HOUR(Table2[[#This Row],[Charging_Start_Time]])</f>
        <v>11</v>
      </c>
    </row>
    <row r="34" spans="1:10" x14ac:dyDescent="0.3">
      <c r="A34" t="s">
        <v>58</v>
      </c>
      <c r="B34" t="s">
        <v>52</v>
      </c>
      <c r="C34" s="1">
        <v>45945</v>
      </c>
      <c r="D34" t="s">
        <v>28</v>
      </c>
      <c r="E34" s="3">
        <v>0.33611111111111114</v>
      </c>
      <c r="F34" s="4">
        <v>0.44097222222222221</v>
      </c>
      <c r="G34" s="2">
        <v>23.8</v>
      </c>
      <c r="H34" s="5">
        <v>238</v>
      </c>
      <c r="I34" t="s">
        <v>18</v>
      </c>
      <c r="J34">
        <f>HOUR(Table2[[#This Row],[Charging_Start_Time]])</f>
        <v>8</v>
      </c>
    </row>
    <row r="35" spans="1:10" x14ac:dyDescent="0.3">
      <c r="A35" t="s">
        <v>59</v>
      </c>
      <c r="B35" t="s">
        <v>10</v>
      </c>
      <c r="C35" s="1">
        <v>45945</v>
      </c>
      <c r="D35" t="s">
        <v>28</v>
      </c>
      <c r="E35" s="3">
        <v>0.77777777777777779</v>
      </c>
      <c r="F35" s="4">
        <v>0.89861111111111114</v>
      </c>
      <c r="G35" s="2">
        <v>21.9</v>
      </c>
      <c r="H35" s="5">
        <v>219</v>
      </c>
      <c r="I35" t="s">
        <v>12</v>
      </c>
      <c r="J35">
        <f>HOUR(Table2[[#This Row],[Charging_Start_Time]])</f>
        <v>18</v>
      </c>
    </row>
    <row r="36" spans="1:10" x14ac:dyDescent="0.3">
      <c r="A36" t="s">
        <v>60</v>
      </c>
      <c r="B36" t="s">
        <v>10</v>
      </c>
      <c r="C36" s="1">
        <v>45945</v>
      </c>
      <c r="D36" t="s">
        <v>15</v>
      </c>
      <c r="E36" s="3">
        <v>0.3034722222222222</v>
      </c>
      <c r="F36" s="4">
        <v>0.41388888888888886</v>
      </c>
      <c r="G36" s="2">
        <v>47.9</v>
      </c>
      <c r="H36" s="5">
        <v>479</v>
      </c>
      <c r="I36" t="s">
        <v>22</v>
      </c>
      <c r="J36">
        <f>HOUR(Table2[[#This Row],[Charging_Start_Time]])</f>
        <v>7</v>
      </c>
    </row>
    <row r="37" spans="1:10" x14ac:dyDescent="0.3">
      <c r="A37" t="s">
        <v>61</v>
      </c>
      <c r="B37" t="s">
        <v>30</v>
      </c>
      <c r="C37" s="1">
        <v>45945</v>
      </c>
      <c r="D37" t="s">
        <v>11</v>
      </c>
      <c r="E37" s="3">
        <v>0.83958333333333335</v>
      </c>
      <c r="F37" s="4">
        <v>0.94097222222222221</v>
      </c>
      <c r="G37" s="2">
        <v>56.9</v>
      </c>
      <c r="H37" s="5">
        <v>569</v>
      </c>
      <c r="I37" t="s">
        <v>18</v>
      </c>
      <c r="J37">
        <f>HOUR(Table2[[#This Row],[Charging_Start_Time]])</f>
        <v>20</v>
      </c>
    </row>
    <row r="38" spans="1:10" x14ac:dyDescent="0.3">
      <c r="A38" t="s">
        <v>62</v>
      </c>
      <c r="B38" t="s">
        <v>33</v>
      </c>
      <c r="C38" s="1">
        <v>45945</v>
      </c>
      <c r="D38" t="s">
        <v>28</v>
      </c>
      <c r="E38" s="3">
        <v>0.34305555555555556</v>
      </c>
      <c r="F38" s="4">
        <v>0.38680555555555557</v>
      </c>
      <c r="G38" s="2">
        <v>50.9</v>
      </c>
      <c r="H38" s="5">
        <v>509</v>
      </c>
      <c r="I38" t="s">
        <v>22</v>
      </c>
      <c r="J38">
        <f>HOUR(Table2[[#This Row],[Charging_Start_Time]])</f>
        <v>8</v>
      </c>
    </row>
    <row r="39" spans="1:10" x14ac:dyDescent="0.3">
      <c r="A39" t="s">
        <v>63</v>
      </c>
      <c r="B39" t="s">
        <v>37</v>
      </c>
      <c r="C39" s="1">
        <v>45945</v>
      </c>
      <c r="D39" t="s">
        <v>28</v>
      </c>
      <c r="E39" s="3">
        <v>0.50138888888888888</v>
      </c>
      <c r="F39" s="4">
        <v>0.57361111111111107</v>
      </c>
      <c r="G39" s="2">
        <v>46.3</v>
      </c>
      <c r="H39" s="5">
        <v>463</v>
      </c>
      <c r="I39" t="s">
        <v>12</v>
      </c>
      <c r="J39">
        <f>HOUR(Table2[[#This Row],[Charging_Start_Time]])</f>
        <v>12</v>
      </c>
    </row>
    <row r="40" spans="1:10" x14ac:dyDescent="0.3">
      <c r="A40" t="s">
        <v>64</v>
      </c>
      <c r="B40" t="s">
        <v>37</v>
      </c>
      <c r="C40" s="1">
        <v>45945</v>
      </c>
      <c r="D40" t="s">
        <v>28</v>
      </c>
      <c r="E40" s="3">
        <v>0.34305555555555556</v>
      </c>
      <c r="F40" s="4">
        <v>0.36736111111111114</v>
      </c>
      <c r="G40" s="2">
        <v>14.9</v>
      </c>
      <c r="H40" s="5">
        <v>149</v>
      </c>
      <c r="I40" t="s">
        <v>22</v>
      </c>
      <c r="J40">
        <f>HOUR(Table2[[#This Row],[Charging_Start_Time]])</f>
        <v>8</v>
      </c>
    </row>
    <row r="41" spans="1:10" x14ac:dyDescent="0.3">
      <c r="A41" t="s">
        <v>65</v>
      </c>
      <c r="B41" t="s">
        <v>37</v>
      </c>
      <c r="C41" s="1">
        <v>45945</v>
      </c>
      <c r="D41" t="s">
        <v>15</v>
      </c>
      <c r="E41" s="3">
        <v>0.29930555555555555</v>
      </c>
      <c r="F41" s="4">
        <v>0.36180555555555555</v>
      </c>
      <c r="G41" s="2">
        <v>24.4</v>
      </c>
      <c r="H41" s="5">
        <v>244</v>
      </c>
      <c r="I41" t="s">
        <v>12</v>
      </c>
      <c r="J41">
        <f>HOUR(Table2[[#This Row],[Charging_Start_Time]])</f>
        <v>7</v>
      </c>
    </row>
    <row r="42" spans="1:10" x14ac:dyDescent="0.3">
      <c r="A42" t="s">
        <v>66</v>
      </c>
      <c r="B42" t="s">
        <v>20</v>
      </c>
      <c r="C42" s="1">
        <v>45945</v>
      </c>
      <c r="D42" t="s">
        <v>15</v>
      </c>
      <c r="E42" s="3">
        <v>0.34027777777777779</v>
      </c>
      <c r="F42" s="4">
        <v>0.4513888888888889</v>
      </c>
      <c r="G42" s="2">
        <v>45.7</v>
      </c>
      <c r="H42" s="5">
        <v>457</v>
      </c>
      <c r="I42" t="s">
        <v>18</v>
      </c>
      <c r="J42">
        <f>HOUR(Table2[[#This Row],[Charging_Start_Time]])</f>
        <v>8</v>
      </c>
    </row>
    <row r="43" spans="1:10" x14ac:dyDescent="0.3">
      <c r="A43" t="s">
        <v>67</v>
      </c>
      <c r="B43" t="s">
        <v>17</v>
      </c>
      <c r="C43" s="1">
        <v>45945</v>
      </c>
      <c r="D43" t="s">
        <v>11</v>
      </c>
      <c r="E43" s="3">
        <v>0.6479166666666667</v>
      </c>
      <c r="F43" s="4">
        <v>0.75277777777777777</v>
      </c>
      <c r="G43" s="2">
        <v>14</v>
      </c>
      <c r="H43" s="5">
        <v>140</v>
      </c>
      <c r="I43" t="s">
        <v>22</v>
      </c>
      <c r="J43">
        <f>HOUR(Table2[[#This Row],[Charging_Start_Time]])</f>
        <v>15</v>
      </c>
    </row>
    <row r="44" spans="1:10" x14ac:dyDescent="0.3">
      <c r="A44" t="s">
        <v>68</v>
      </c>
      <c r="B44" t="s">
        <v>30</v>
      </c>
      <c r="C44" s="1">
        <v>45945</v>
      </c>
      <c r="D44" t="s">
        <v>28</v>
      </c>
      <c r="E44" s="3">
        <v>0.39374999999999999</v>
      </c>
      <c r="F44" s="4">
        <v>0.42222222222222222</v>
      </c>
      <c r="G44" s="2">
        <v>93.4</v>
      </c>
      <c r="H44" s="5">
        <v>934</v>
      </c>
      <c r="I44" t="s">
        <v>22</v>
      </c>
      <c r="J44">
        <f>HOUR(Table2[[#This Row],[Charging_Start_Time]])</f>
        <v>9</v>
      </c>
    </row>
    <row r="45" spans="1:10" x14ac:dyDescent="0.3">
      <c r="A45" t="s">
        <v>69</v>
      </c>
      <c r="B45" t="s">
        <v>30</v>
      </c>
      <c r="C45" s="1">
        <v>45945</v>
      </c>
      <c r="D45" t="s">
        <v>24</v>
      </c>
      <c r="E45" s="3">
        <v>0.29444444444444445</v>
      </c>
      <c r="F45" s="4">
        <v>0.32013888888888886</v>
      </c>
      <c r="G45" s="2">
        <v>18</v>
      </c>
      <c r="H45" s="5">
        <v>180</v>
      </c>
      <c r="I45" t="s">
        <v>22</v>
      </c>
      <c r="J45">
        <f>HOUR(Table2[[#This Row],[Charging_Start_Time]])</f>
        <v>7</v>
      </c>
    </row>
    <row r="46" spans="1:10" x14ac:dyDescent="0.3">
      <c r="A46" t="s">
        <v>70</v>
      </c>
      <c r="B46" t="s">
        <v>52</v>
      </c>
      <c r="C46" s="1">
        <v>45945</v>
      </c>
      <c r="D46" t="s">
        <v>11</v>
      </c>
      <c r="E46" s="3">
        <v>0.81597222222222221</v>
      </c>
      <c r="F46" s="4">
        <v>0.91736111111111107</v>
      </c>
      <c r="G46" s="2">
        <v>26</v>
      </c>
      <c r="H46" s="5">
        <v>260</v>
      </c>
      <c r="I46" t="s">
        <v>22</v>
      </c>
      <c r="J46">
        <f>HOUR(Table2[[#This Row],[Charging_Start_Time]])</f>
        <v>19</v>
      </c>
    </row>
    <row r="47" spans="1:10" x14ac:dyDescent="0.3">
      <c r="A47" t="s">
        <v>71</v>
      </c>
      <c r="B47" t="s">
        <v>26</v>
      </c>
      <c r="C47" s="1">
        <v>45945</v>
      </c>
      <c r="D47" t="s">
        <v>15</v>
      </c>
      <c r="E47" s="3">
        <v>0.61319444444444449</v>
      </c>
      <c r="F47" s="4">
        <v>0.65138888888888891</v>
      </c>
      <c r="G47" s="2">
        <v>23</v>
      </c>
      <c r="H47" s="5">
        <v>230</v>
      </c>
      <c r="I47" t="s">
        <v>22</v>
      </c>
      <c r="J47">
        <f>HOUR(Table2[[#This Row],[Charging_Start_Time]])</f>
        <v>14</v>
      </c>
    </row>
    <row r="48" spans="1:10" x14ac:dyDescent="0.3">
      <c r="A48" t="s">
        <v>72</v>
      </c>
      <c r="B48" t="s">
        <v>14</v>
      </c>
      <c r="C48" s="1">
        <v>45945</v>
      </c>
      <c r="D48" t="s">
        <v>24</v>
      </c>
      <c r="E48" s="3">
        <v>0.59305555555555556</v>
      </c>
      <c r="F48" s="4">
        <v>0.67222222222222228</v>
      </c>
      <c r="G48" s="2">
        <v>92.4</v>
      </c>
      <c r="H48" s="5">
        <v>924</v>
      </c>
      <c r="I48" t="s">
        <v>22</v>
      </c>
      <c r="J48">
        <f>HOUR(Table2[[#This Row],[Charging_Start_Time]])</f>
        <v>14</v>
      </c>
    </row>
    <row r="49" spans="1:10" x14ac:dyDescent="0.3">
      <c r="A49" t="s">
        <v>73</v>
      </c>
      <c r="B49" t="s">
        <v>20</v>
      </c>
      <c r="C49" s="1">
        <v>45945</v>
      </c>
      <c r="D49" t="s">
        <v>24</v>
      </c>
      <c r="E49" s="3">
        <v>0.71180555555555558</v>
      </c>
      <c r="F49" s="4">
        <v>0.79097222222222219</v>
      </c>
      <c r="G49" s="2">
        <v>55.3</v>
      </c>
      <c r="H49" s="5">
        <v>553</v>
      </c>
      <c r="I49" t="s">
        <v>18</v>
      </c>
      <c r="J49">
        <f>HOUR(Table2[[#This Row],[Charging_Start_Time]])</f>
        <v>17</v>
      </c>
    </row>
    <row r="50" spans="1:10" x14ac:dyDescent="0.3">
      <c r="A50" t="s">
        <v>74</v>
      </c>
      <c r="B50" t="s">
        <v>40</v>
      </c>
      <c r="C50" s="1">
        <v>45945</v>
      </c>
      <c r="D50" t="s">
        <v>24</v>
      </c>
      <c r="E50" s="3">
        <v>0.8305555555555556</v>
      </c>
      <c r="F50" s="4">
        <v>0.89166666666666672</v>
      </c>
      <c r="G50" s="2">
        <v>88.4</v>
      </c>
      <c r="H50" s="5">
        <v>884</v>
      </c>
      <c r="I50" t="s">
        <v>18</v>
      </c>
      <c r="J50">
        <f>HOUR(Table2[[#This Row],[Charging_Start_Time]])</f>
        <v>19</v>
      </c>
    </row>
    <row r="51" spans="1:10" x14ac:dyDescent="0.3">
      <c r="A51" t="s">
        <v>75</v>
      </c>
      <c r="B51" t="s">
        <v>10</v>
      </c>
      <c r="C51" s="1">
        <v>45945</v>
      </c>
      <c r="D51" t="s">
        <v>24</v>
      </c>
      <c r="E51" s="3">
        <v>0.78611111111111109</v>
      </c>
      <c r="F51" s="4">
        <v>0.80763888888888891</v>
      </c>
      <c r="G51" s="2">
        <v>76.2</v>
      </c>
      <c r="H51" s="5">
        <v>762</v>
      </c>
      <c r="I51" t="s">
        <v>12</v>
      </c>
      <c r="J51">
        <f>HOUR(Table2[[#This Row],[Charging_Start_Time]])</f>
        <v>18</v>
      </c>
    </row>
    <row r="52" spans="1:10" x14ac:dyDescent="0.3">
      <c r="A52" t="s">
        <v>76</v>
      </c>
      <c r="B52" t="s">
        <v>10</v>
      </c>
      <c r="C52" s="1">
        <v>45945</v>
      </c>
      <c r="D52" t="s">
        <v>15</v>
      </c>
      <c r="E52" s="3">
        <v>0.78194444444444444</v>
      </c>
      <c r="F52" s="4">
        <v>0.83819444444444446</v>
      </c>
      <c r="G52" s="2">
        <v>12</v>
      </c>
      <c r="H52" s="5">
        <v>120</v>
      </c>
      <c r="I52" t="s">
        <v>22</v>
      </c>
      <c r="J52">
        <f>HOUR(Table2[[#This Row],[Charging_Start_Time]])</f>
        <v>18</v>
      </c>
    </row>
    <row r="53" spans="1:10" x14ac:dyDescent="0.3">
      <c r="A53" t="s">
        <v>77</v>
      </c>
      <c r="B53" t="s">
        <v>17</v>
      </c>
      <c r="C53" s="1">
        <v>45945</v>
      </c>
      <c r="D53" t="s">
        <v>24</v>
      </c>
      <c r="E53" s="3">
        <v>0.28055555555555556</v>
      </c>
      <c r="F53" s="4">
        <v>0.36736111111111114</v>
      </c>
      <c r="G53" s="2">
        <v>27.3</v>
      </c>
      <c r="H53" s="5">
        <v>273</v>
      </c>
      <c r="I53" t="s">
        <v>18</v>
      </c>
      <c r="J53">
        <f>HOUR(Table2[[#This Row],[Charging_Start_Time]])</f>
        <v>6</v>
      </c>
    </row>
    <row r="54" spans="1:10" x14ac:dyDescent="0.3">
      <c r="A54" t="s">
        <v>78</v>
      </c>
      <c r="B54" t="s">
        <v>17</v>
      </c>
      <c r="C54" s="1">
        <v>45945</v>
      </c>
      <c r="D54" t="s">
        <v>11</v>
      </c>
      <c r="E54" s="3">
        <v>0.61458333333333337</v>
      </c>
      <c r="F54" s="4">
        <v>0.67222222222222228</v>
      </c>
      <c r="G54" s="2">
        <v>35.6</v>
      </c>
      <c r="H54" s="5">
        <v>356</v>
      </c>
      <c r="I54" t="s">
        <v>12</v>
      </c>
      <c r="J54">
        <f>HOUR(Table2[[#This Row],[Charging_Start_Time]])</f>
        <v>14</v>
      </c>
    </row>
    <row r="55" spans="1:10" x14ac:dyDescent="0.3">
      <c r="A55" t="s">
        <v>79</v>
      </c>
      <c r="B55" t="s">
        <v>30</v>
      </c>
      <c r="C55" s="1">
        <v>45945</v>
      </c>
      <c r="D55" t="s">
        <v>11</v>
      </c>
      <c r="E55" s="3">
        <v>0.62986111111111109</v>
      </c>
      <c r="F55" s="4">
        <v>0.68472222222222223</v>
      </c>
      <c r="G55" s="2">
        <v>8.3000000000000007</v>
      </c>
      <c r="H55" s="5">
        <v>83</v>
      </c>
      <c r="I55" t="s">
        <v>22</v>
      </c>
      <c r="J55">
        <f>HOUR(Table2[[#This Row],[Charging_Start_Time]])</f>
        <v>15</v>
      </c>
    </row>
    <row r="56" spans="1:10" x14ac:dyDescent="0.3">
      <c r="A56" t="s">
        <v>80</v>
      </c>
      <c r="B56" t="s">
        <v>10</v>
      </c>
      <c r="C56" s="1">
        <v>45945</v>
      </c>
      <c r="D56" t="s">
        <v>24</v>
      </c>
      <c r="E56" s="3">
        <v>0.54861111111111116</v>
      </c>
      <c r="F56" s="4">
        <v>0.57916666666666672</v>
      </c>
      <c r="G56" s="2">
        <v>74.7</v>
      </c>
      <c r="H56" s="5">
        <v>747</v>
      </c>
      <c r="I56" t="s">
        <v>18</v>
      </c>
      <c r="J56">
        <f>HOUR(Table2[[#This Row],[Charging_Start_Time]])</f>
        <v>13</v>
      </c>
    </row>
    <row r="57" spans="1:10" x14ac:dyDescent="0.3">
      <c r="A57" t="s">
        <v>81</v>
      </c>
      <c r="B57" t="s">
        <v>40</v>
      </c>
      <c r="C57" s="1">
        <v>45945</v>
      </c>
      <c r="D57" t="s">
        <v>11</v>
      </c>
      <c r="E57" s="3">
        <v>0.64097222222222228</v>
      </c>
      <c r="F57" s="4">
        <v>0.74375000000000002</v>
      </c>
      <c r="G57" s="2">
        <v>29</v>
      </c>
      <c r="H57" s="5">
        <v>290</v>
      </c>
      <c r="I57" t="s">
        <v>12</v>
      </c>
      <c r="J57">
        <f>HOUR(Table2[[#This Row],[Charging_Start_Time]])</f>
        <v>15</v>
      </c>
    </row>
    <row r="58" spans="1:10" x14ac:dyDescent="0.3">
      <c r="A58" t="s">
        <v>82</v>
      </c>
      <c r="B58" t="s">
        <v>52</v>
      </c>
      <c r="C58" s="1">
        <v>45945</v>
      </c>
      <c r="D58" t="s">
        <v>11</v>
      </c>
      <c r="E58" s="3">
        <v>0.76458333333333328</v>
      </c>
      <c r="F58" s="4">
        <v>0.7895833333333333</v>
      </c>
      <c r="G58" s="2">
        <v>77.400000000000006</v>
      </c>
      <c r="H58" s="5">
        <v>774</v>
      </c>
      <c r="I58" t="s">
        <v>18</v>
      </c>
      <c r="J58">
        <f>HOUR(Table2[[#This Row],[Charging_Start_Time]])</f>
        <v>18</v>
      </c>
    </row>
    <row r="59" spans="1:10" x14ac:dyDescent="0.3">
      <c r="A59" t="s">
        <v>83</v>
      </c>
      <c r="B59" t="s">
        <v>14</v>
      </c>
      <c r="C59" s="1">
        <v>45945</v>
      </c>
      <c r="D59" t="s">
        <v>15</v>
      </c>
      <c r="E59" s="3">
        <v>0.28472222222222221</v>
      </c>
      <c r="F59" s="4">
        <v>0.40625</v>
      </c>
      <c r="G59" s="2">
        <v>86.4</v>
      </c>
      <c r="H59" s="5">
        <v>864</v>
      </c>
      <c r="I59" t="s">
        <v>12</v>
      </c>
      <c r="J59">
        <f>HOUR(Table2[[#This Row],[Charging_Start_Time]])</f>
        <v>6</v>
      </c>
    </row>
    <row r="60" spans="1:10" x14ac:dyDescent="0.3">
      <c r="A60" t="s">
        <v>84</v>
      </c>
      <c r="B60" t="s">
        <v>40</v>
      </c>
      <c r="C60" s="1">
        <v>45945</v>
      </c>
      <c r="D60" t="s">
        <v>11</v>
      </c>
      <c r="E60" s="3">
        <v>0.66527777777777775</v>
      </c>
      <c r="F60" s="4">
        <v>0.7416666666666667</v>
      </c>
      <c r="G60" s="2">
        <v>73.7</v>
      </c>
      <c r="H60" s="5">
        <v>737</v>
      </c>
      <c r="I60" t="s">
        <v>22</v>
      </c>
      <c r="J60">
        <f>HOUR(Table2[[#This Row],[Charging_Start_Time]])</f>
        <v>15</v>
      </c>
    </row>
    <row r="61" spans="1:10" x14ac:dyDescent="0.3">
      <c r="A61" t="s">
        <v>85</v>
      </c>
      <c r="B61" t="s">
        <v>20</v>
      </c>
      <c r="C61" s="1">
        <v>45945</v>
      </c>
      <c r="D61" t="s">
        <v>15</v>
      </c>
      <c r="E61" s="3">
        <v>0.25833333333333336</v>
      </c>
      <c r="F61" s="4">
        <v>0.28749999999999998</v>
      </c>
      <c r="G61" s="2">
        <v>71.5</v>
      </c>
      <c r="H61" s="5">
        <v>715</v>
      </c>
      <c r="I61" t="s">
        <v>18</v>
      </c>
      <c r="J61">
        <f>HOUR(Table2[[#This Row],[Charging_Start_Time]])</f>
        <v>6</v>
      </c>
    </row>
    <row r="62" spans="1:10" x14ac:dyDescent="0.3">
      <c r="A62" t="s">
        <v>86</v>
      </c>
      <c r="B62" t="s">
        <v>14</v>
      </c>
      <c r="C62" s="1">
        <v>45945</v>
      </c>
      <c r="D62" t="s">
        <v>28</v>
      </c>
      <c r="E62" s="3">
        <v>0.33541666666666664</v>
      </c>
      <c r="F62" s="4">
        <v>0.42430555555555555</v>
      </c>
      <c r="G62" s="2">
        <v>34.1</v>
      </c>
      <c r="H62" s="5">
        <v>341</v>
      </c>
      <c r="I62" t="s">
        <v>22</v>
      </c>
      <c r="J62">
        <f>HOUR(Table2[[#This Row],[Charging_Start_Time]])</f>
        <v>8</v>
      </c>
    </row>
    <row r="63" spans="1:10" x14ac:dyDescent="0.3">
      <c r="A63" t="s">
        <v>87</v>
      </c>
      <c r="B63" t="s">
        <v>17</v>
      </c>
      <c r="C63" s="1">
        <v>45945</v>
      </c>
      <c r="D63" t="s">
        <v>11</v>
      </c>
      <c r="E63" s="3">
        <v>0.80208333333333337</v>
      </c>
      <c r="F63" s="4">
        <v>0.88194444444444442</v>
      </c>
      <c r="G63" s="2">
        <v>83.5</v>
      </c>
      <c r="H63" s="5">
        <v>835</v>
      </c>
      <c r="I63" t="s">
        <v>22</v>
      </c>
      <c r="J63">
        <f>HOUR(Table2[[#This Row],[Charging_Start_Time]])</f>
        <v>19</v>
      </c>
    </row>
    <row r="64" spans="1:10" x14ac:dyDescent="0.3">
      <c r="A64" t="s">
        <v>88</v>
      </c>
      <c r="B64" t="s">
        <v>30</v>
      </c>
      <c r="C64" s="1">
        <v>45945</v>
      </c>
      <c r="D64" t="s">
        <v>11</v>
      </c>
      <c r="E64" s="3">
        <v>0.46458333333333335</v>
      </c>
      <c r="F64" s="4">
        <v>0.5756944444444444</v>
      </c>
      <c r="G64" s="2">
        <v>70.400000000000006</v>
      </c>
      <c r="H64" s="5">
        <v>704</v>
      </c>
      <c r="I64" t="s">
        <v>22</v>
      </c>
      <c r="J64">
        <f>HOUR(Table2[[#This Row],[Charging_Start_Time]])</f>
        <v>11</v>
      </c>
    </row>
    <row r="65" spans="1:10" x14ac:dyDescent="0.3">
      <c r="A65" t="s">
        <v>89</v>
      </c>
      <c r="B65" t="s">
        <v>33</v>
      </c>
      <c r="C65" s="1">
        <v>45945</v>
      </c>
      <c r="D65" t="s">
        <v>24</v>
      </c>
      <c r="E65" s="3">
        <v>0.25416666666666665</v>
      </c>
      <c r="F65" s="4">
        <v>0.31111111111111112</v>
      </c>
      <c r="G65" s="2">
        <v>17.100000000000001</v>
      </c>
      <c r="H65" s="5">
        <v>171</v>
      </c>
      <c r="I65" t="s">
        <v>12</v>
      </c>
      <c r="J65">
        <f>HOUR(Table2[[#This Row],[Charging_Start_Time]])</f>
        <v>6</v>
      </c>
    </row>
    <row r="66" spans="1:10" x14ac:dyDescent="0.3">
      <c r="A66" t="s">
        <v>90</v>
      </c>
      <c r="B66" t="s">
        <v>30</v>
      </c>
      <c r="C66" s="1">
        <v>45945</v>
      </c>
      <c r="D66" t="s">
        <v>15</v>
      </c>
      <c r="E66" s="3">
        <v>0.84930555555555554</v>
      </c>
      <c r="F66" s="4">
        <v>0.97222222222222221</v>
      </c>
      <c r="G66" s="2">
        <v>56.8</v>
      </c>
      <c r="H66" s="5">
        <v>568</v>
      </c>
      <c r="I66" t="s">
        <v>12</v>
      </c>
      <c r="J66">
        <f>HOUR(Table2[[#This Row],[Charging_Start_Time]])</f>
        <v>20</v>
      </c>
    </row>
    <row r="67" spans="1:10" x14ac:dyDescent="0.3">
      <c r="A67" t="s">
        <v>91</v>
      </c>
      <c r="B67" t="s">
        <v>17</v>
      </c>
      <c r="C67" s="1">
        <v>45945</v>
      </c>
      <c r="D67" t="s">
        <v>15</v>
      </c>
      <c r="E67" s="3">
        <v>0.68402777777777779</v>
      </c>
      <c r="F67" s="4">
        <v>0.79374999999999996</v>
      </c>
      <c r="G67" s="2">
        <v>88.4</v>
      </c>
      <c r="H67" s="5">
        <v>884</v>
      </c>
      <c r="I67" t="s">
        <v>22</v>
      </c>
      <c r="J67">
        <f>HOUR(Table2[[#This Row],[Charging_Start_Time]])</f>
        <v>16</v>
      </c>
    </row>
    <row r="68" spans="1:10" x14ac:dyDescent="0.3">
      <c r="A68" t="s">
        <v>92</v>
      </c>
      <c r="B68" t="s">
        <v>20</v>
      </c>
      <c r="C68" s="1">
        <v>45945</v>
      </c>
      <c r="D68" t="s">
        <v>11</v>
      </c>
      <c r="E68" s="3">
        <v>0.47499999999999998</v>
      </c>
      <c r="F68" s="4">
        <v>0.55138888888888893</v>
      </c>
      <c r="G68" s="2">
        <v>40.9</v>
      </c>
      <c r="H68" s="5">
        <v>409</v>
      </c>
      <c r="I68" t="s">
        <v>18</v>
      </c>
      <c r="J68">
        <f>HOUR(Table2[[#This Row],[Charging_Start_Time]])</f>
        <v>11</v>
      </c>
    </row>
    <row r="69" spans="1:10" x14ac:dyDescent="0.3">
      <c r="A69" t="s">
        <v>93</v>
      </c>
      <c r="B69" t="s">
        <v>40</v>
      </c>
      <c r="C69" s="1">
        <v>45945</v>
      </c>
      <c r="D69" t="s">
        <v>11</v>
      </c>
      <c r="E69" s="3">
        <v>0.54652777777777772</v>
      </c>
      <c r="F69" s="4">
        <v>0.65625</v>
      </c>
      <c r="G69" s="2">
        <v>59.4</v>
      </c>
      <c r="H69" s="5">
        <v>594</v>
      </c>
      <c r="I69" t="s">
        <v>12</v>
      </c>
      <c r="J69">
        <f>HOUR(Table2[[#This Row],[Charging_Start_Time]])</f>
        <v>13</v>
      </c>
    </row>
    <row r="70" spans="1:10" x14ac:dyDescent="0.3">
      <c r="A70" t="s">
        <v>94</v>
      </c>
      <c r="B70" t="s">
        <v>10</v>
      </c>
      <c r="C70" s="1">
        <v>45945</v>
      </c>
      <c r="D70" t="s">
        <v>24</v>
      </c>
      <c r="E70" s="3">
        <v>0.25</v>
      </c>
      <c r="F70" s="4">
        <v>0.3576388888888889</v>
      </c>
      <c r="G70" s="2">
        <v>66.2</v>
      </c>
      <c r="H70" s="5">
        <v>662</v>
      </c>
      <c r="I70" t="s">
        <v>18</v>
      </c>
      <c r="J70">
        <f>HOUR(Table2[[#This Row],[Charging_Start_Time]])</f>
        <v>6</v>
      </c>
    </row>
    <row r="71" spans="1:10" x14ac:dyDescent="0.3">
      <c r="A71" t="s">
        <v>95</v>
      </c>
      <c r="B71" t="s">
        <v>40</v>
      </c>
      <c r="C71" s="1">
        <v>45945</v>
      </c>
      <c r="D71" t="s">
        <v>28</v>
      </c>
      <c r="E71" s="3">
        <v>0.68888888888888888</v>
      </c>
      <c r="F71" s="4">
        <v>0.76944444444444449</v>
      </c>
      <c r="G71" s="2">
        <v>53.2</v>
      </c>
      <c r="H71" s="5">
        <v>532</v>
      </c>
      <c r="I71" t="s">
        <v>18</v>
      </c>
      <c r="J71">
        <f>HOUR(Table2[[#This Row],[Charging_Start_Time]])</f>
        <v>16</v>
      </c>
    </row>
    <row r="72" spans="1:10" x14ac:dyDescent="0.3">
      <c r="A72" t="s">
        <v>96</v>
      </c>
      <c r="B72" t="s">
        <v>17</v>
      </c>
      <c r="C72" s="1">
        <v>45945</v>
      </c>
      <c r="D72" t="s">
        <v>28</v>
      </c>
      <c r="E72" s="3">
        <v>0.51736111111111116</v>
      </c>
      <c r="F72" s="4">
        <v>0.6</v>
      </c>
      <c r="G72" s="2">
        <v>73.5</v>
      </c>
      <c r="H72" s="5">
        <v>735</v>
      </c>
      <c r="I72" t="s">
        <v>18</v>
      </c>
      <c r="J72">
        <f>HOUR(Table2[[#This Row],[Charging_Start_Time]])</f>
        <v>12</v>
      </c>
    </row>
    <row r="73" spans="1:10" x14ac:dyDescent="0.3">
      <c r="A73" t="s">
        <v>97</v>
      </c>
      <c r="B73" t="s">
        <v>52</v>
      </c>
      <c r="C73" s="1">
        <v>45945</v>
      </c>
      <c r="D73" t="s">
        <v>15</v>
      </c>
      <c r="E73" s="3">
        <v>0.56388888888888888</v>
      </c>
      <c r="F73" s="4">
        <v>0.61944444444444446</v>
      </c>
      <c r="G73" s="2">
        <v>50.5</v>
      </c>
      <c r="H73" s="5">
        <v>505</v>
      </c>
      <c r="I73" t="s">
        <v>18</v>
      </c>
      <c r="J73">
        <f>HOUR(Table2[[#This Row],[Charging_Start_Time]])</f>
        <v>13</v>
      </c>
    </row>
    <row r="74" spans="1:10" x14ac:dyDescent="0.3">
      <c r="A74" t="s">
        <v>98</v>
      </c>
      <c r="B74" t="s">
        <v>26</v>
      </c>
      <c r="C74" s="1">
        <v>45945</v>
      </c>
      <c r="D74" t="s">
        <v>11</v>
      </c>
      <c r="E74" s="3">
        <v>0.70416666666666672</v>
      </c>
      <c r="F74" s="4">
        <v>0.76527777777777772</v>
      </c>
      <c r="G74" s="2">
        <v>42.5</v>
      </c>
      <c r="H74" s="5">
        <v>425</v>
      </c>
      <c r="I74" t="s">
        <v>22</v>
      </c>
      <c r="J74">
        <f>HOUR(Table2[[#This Row],[Charging_Start_Time]])</f>
        <v>16</v>
      </c>
    </row>
    <row r="75" spans="1:10" x14ac:dyDescent="0.3">
      <c r="A75" t="s">
        <v>99</v>
      </c>
      <c r="B75" t="s">
        <v>30</v>
      </c>
      <c r="C75" s="1">
        <v>45945</v>
      </c>
      <c r="D75" t="s">
        <v>15</v>
      </c>
      <c r="E75" s="3">
        <v>0.47638888888888886</v>
      </c>
      <c r="F75" s="4">
        <v>0.55694444444444446</v>
      </c>
      <c r="G75" s="2">
        <v>56.3</v>
      </c>
      <c r="H75" s="5">
        <v>563</v>
      </c>
      <c r="I75" t="s">
        <v>18</v>
      </c>
      <c r="J75">
        <f>HOUR(Table2[[#This Row],[Charging_Start_Time]])</f>
        <v>11</v>
      </c>
    </row>
    <row r="76" spans="1:10" x14ac:dyDescent="0.3">
      <c r="A76" t="s">
        <v>100</v>
      </c>
      <c r="B76" t="s">
        <v>10</v>
      </c>
      <c r="C76" s="1">
        <v>45945</v>
      </c>
      <c r="D76" t="s">
        <v>15</v>
      </c>
      <c r="E76" s="3">
        <v>0.86527777777777781</v>
      </c>
      <c r="F76" s="4">
        <v>0.89930555555555558</v>
      </c>
      <c r="G76" s="2">
        <v>29.6</v>
      </c>
      <c r="H76" s="5">
        <v>296</v>
      </c>
      <c r="I76" t="s">
        <v>12</v>
      </c>
      <c r="J76">
        <f>HOUR(Table2[[#This Row],[Charging_Start_Time]])</f>
        <v>20</v>
      </c>
    </row>
    <row r="77" spans="1:10" x14ac:dyDescent="0.3">
      <c r="A77" t="s">
        <v>101</v>
      </c>
      <c r="B77" t="s">
        <v>52</v>
      </c>
      <c r="C77" s="1">
        <v>45945</v>
      </c>
      <c r="D77" t="s">
        <v>28</v>
      </c>
      <c r="E77" s="3">
        <v>0.63472222222222219</v>
      </c>
      <c r="F77" s="4">
        <v>0.74583333333333335</v>
      </c>
      <c r="G77" s="2">
        <v>64.5</v>
      </c>
      <c r="H77" s="5">
        <v>645</v>
      </c>
      <c r="I77" t="s">
        <v>12</v>
      </c>
      <c r="J77">
        <f>HOUR(Table2[[#This Row],[Charging_Start_Time]])</f>
        <v>15</v>
      </c>
    </row>
    <row r="78" spans="1:10" x14ac:dyDescent="0.3">
      <c r="A78" t="s">
        <v>102</v>
      </c>
      <c r="B78" t="s">
        <v>37</v>
      </c>
      <c r="C78" s="1">
        <v>45945</v>
      </c>
      <c r="D78" t="s">
        <v>11</v>
      </c>
      <c r="E78" s="3">
        <v>0.68888888888888888</v>
      </c>
      <c r="F78" s="4">
        <v>0.74722222222222223</v>
      </c>
      <c r="G78" s="2">
        <v>69.400000000000006</v>
      </c>
      <c r="H78" s="5">
        <v>694</v>
      </c>
      <c r="I78" t="s">
        <v>22</v>
      </c>
      <c r="J78">
        <f>HOUR(Table2[[#This Row],[Charging_Start_Time]])</f>
        <v>16</v>
      </c>
    </row>
    <row r="79" spans="1:10" x14ac:dyDescent="0.3">
      <c r="A79" t="s">
        <v>103</v>
      </c>
      <c r="B79" t="s">
        <v>10</v>
      </c>
      <c r="C79" s="1">
        <v>45945</v>
      </c>
      <c r="D79" t="s">
        <v>24</v>
      </c>
      <c r="E79" s="3">
        <v>0.87430555555555556</v>
      </c>
      <c r="F79" s="4">
        <v>0.93333333333333335</v>
      </c>
      <c r="G79" s="2">
        <v>13.5</v>
      </c>
      <c r="H79" s="5">
        <v>135</v>
      </c>
      <c r="I79" t="s">
        <v>12</v>
      </c>
      <c r="J79">
        <f>HOUR(Table2[[#This Row],[Charging_Start_Time]])</f>
        <v>20</v>
      </c>
    </row>
    <row r="80" spans="1:10" x14ac:dyDescent="0.3">
      <c r="A80" t="s">
        <v>104</v>
      </c>
      <c r="B80" t="s">
        <v>52</v>
      </c>
      <c r="C80" s="1">
        <v>45945</v>
      </c>
      <c r="D80" t="s">
        <v>11</v>
      </c>
      <c r="E80" s="3">
        <v>0.73888888888888893</v>
      </c>
      <c r="F80" s="4">
        <v>0.82013888888888886</v>
      </c>
      <c r="G80" s="2">
        <v>43.8</v>
      </c>
      <c r="H80" s="5">
        <v>438</v>
      </c>
      <c r="I80" t="s">
        <v>22</v>
      </c>
      <c r="J80">
        <f>HOUR(Table2[[#This Row],[Charging_Start_Time]])</f>
        <v>17</v>
      </c>
    </row>
    <row r="81" spans="1:10" x14ac:dyDescent="0.3">
      <c r="A81" t="s">
        <v>105</v>
      </c>
      <c r="B81" t="s">
        <v>37</v>
      </c>
      <c r="C81" s="1">
        <v>45945</v>
      </c>
      <c r="D81" t="s">
        <v>24</v>
      </c>
      <c r="E81" s="3">
        <v>0.4861111111111111</v>
      </c>
      <c r="F81" s="4">
        <v>0.53333333333333333</v>
      </c>
      <c r="G81" s="2">
        <v>53.8</v>
      </c>
      <c r="H81" s="5">
        <v>538</v>
      </c>
      <c r="I81" t="s">
        <v>18</v>
      </c>
      <c r="J81">
        <f>HOUR(Table2[[#This Row],[Charging_Start_Time]])</f>
        <v>11</v>
      </c>
    </row>
    <row r="82" spans="1:10" x14ac:dyDescent="0.3">
      <c r="A82" t="s">
        <v>106</v>
      </c>
      <c r="B82" t="s">
        <v>10</v>
      </c>
      <c r="C82" s="1">
        <v>45945</v>
      </c>
      <c r="D82" t="s">
        <v>11</v>
      </c>
      <c r="E82" s="3">
        <v>0.75763888888888886</v>
      </c>
      <c r="F82" s="4">
        <v>0.80763888888888891</v>
      </c>
      <c r="G82" s="2">
        <v>78</v>
      </c>
      <c r="H82" s="5">
        <v>780</v>
      </c>
      <c r="I82" t="s">
        <v>18</v>
      </c>
      <c r="J82">
        <f>HOUR(Table2[[#This Row],[Charging_Start_Time]])</f>
        <v>18</v>
      </c>
    </row>
    <row r="83" spans="1:10" x14ac:dyDescent="0.3">
      <c r="A83" t="s">
        <v>107</v>
      </c>
      <c r="B83" t="s">
        <v>52</v>
      </c>
      <c r="C83" s="1">
        <v>45945</v>
      </c>
      <c r="D83" t="s">
        <v>11</v>
      </c>
      <c r="E83" s="3">
        <v>0.31944444444444442</v>
      </c>
      <c r="F83" s="4">
        <v>0.42499999999999999</v>
      </c>
      <c r="G83" s="2">
        <v>11</v>
      </c>
      <c r="H83" s="5">
        <v>110</v>
      </c>
      <c r="I83" t="s">
        <v>22</v>
      </c>
      <c r="J83">
        <f>HOUR(Table2[[#This Row],[Charging_Start_Time]])</f>
        <v>7</v>
      </c>
    </row>
    <row r="84" spans="1:10" x14ac:dyDescent="0.3">
      <c r="A84" t="s">
        <v>108</v>
      </c>
      <c r="B84" t="s">
        <v>26</v>
      </c>
      <c r="C84" s="1">
        <v>45945</v>
      </c>
      <c r="D84" t="s">
        <v>11</v>
      </c>
      <c r="E84" s="3">
        <v>0.85138888888888886</v>
      </c>
      <c r="F84" s="4">
        <v>0.87916666666666665</v>
      </c>
      <c r="G84" s="2">
        <v>88</v>
      </c>
      <c r="H84" s="5">
        <v>880</v>
      </c>
      <c r="I84" t="s">
        <v>22</v>
      </c>
      <c r="J84">
        <f>HOUR(Table2[[#This Row],[Charging_Start_Time]])</f>
        <v>20</v>
      </c>
    </row>
    <row r="85" spans="1:10" x14ac:dyDescent="0.3">
      <c r="A85" t="s">
        <v>109</v>
      </c>
      <c r="B85" t="s">
        <v>26</v>
      </c>
      <c r="C85" s="1">
        <v>45945</v>
      </c>
      <c r="D85" t="s">
        <v>28</v>
      </c>
      <c r="E85" s="3">
        <v>0.37361111111111112</v>
      </c>
      <c r="F85" s="4">
        <v>0.43819444444444444</v>
      </c>
      <c r="G85" s="2">
        <v>74.400000000000006</v>
      </c>
      <c r="H85" s="5">
        <v>744</v>
      </c>
      <c r="I85" t="s">
        <v>18</v>
      </c>
      <c r="J85">
        <f>HOUR(Table2[[#This Row],[Charging_Start_Time]])</f>
        <v>8</v>
      </c>
    </row>
    <row r="86" spans="1:10" x14ac:dyDescent="0.3">
      <c r="A86" t="s">
        <v>110</v>
      </c>
      <c r="B86" t="s">
        <v>26</v>
      </c>
      <c r="C86" s="1">
        <v>45945</v>
      </c>
      <c r="D86" t="s">
        <v>15</v>
      </c>
      <c r="E86" s="3">
        <v>0.37152777777777779</v>
      </c>
      <c r="F86" s="4">
        <v>0.47569444444444442</v>
      </c>
      <c r="G86" s="2">
        <v>68.5</v>
      </c>
      <c r="H86" s="5">
        <v>685</v>
      </c>
      <c r="I86" t="s">
        <v>12</v>
      </c>
      <c r="J86">
        <f>HOUR(Table2[[#This Row],[Charging_Start_Time]])</f>
        <v>8</v>
      </c>
    </row>
    <row r="87" spans="1:10" x14ac:dyDescent="0.3">
      <c r="A87" t="s">
        <v>111</v>
      </c>
      <c r="B87" t="s">
        <v>17</v>
      </c>
      <c r="C87" s="1">
        <v>45945</v>
      </c>
      <c r="D87" t="s">
        <v>11</v>
      </c>
      <c r="E87" s="3">
        <v>0.31666666666666665</v>
      </c>
      <c r="F87" s="4">
        <v>0.3923611111111111</v>
      </c>
      <c r="G87" s="2">
        <v>15.5</v>
      </c>
      <c r="H87" s="5">
        <v>155</v>
      </c>
      <c r="I87" t="s">
        <v>18</v>
      </c>
      <c r="J87">
        <f>HOUR(Table2[[#This Row],[Charging_Start_Time]])</f>
        <v>7</v>
      </c>
    </row>
    <row r="88" spans="1:10" x14ac:dyDescent="0.3">
      <c r="A88" t="s">
        <v>112</v>
      </c>
      <c r="B88" t="s">
        <v>52</v>
      </c>
      <c r="C88" s="1">
        <v>45945</v>
      </c>
      <c r="D88" t="s">
        <v>11</v>
      </c>
      <c r="E88" s="3">
        <v>0.55763888888888891</v>
      </c>
      <c r="F88" s="4">
        <v>0.59861111111111109</v>
      </c>
      <c r="G88" s="2">
        <v>94</v>
      </c>
      <c r="H88" s="5">
        <v>940</v>
      </c>
      <c r="I88" t="s">
        <v>18</v>
      </c>
      <c r="J88">
        <f>HOUR(Table2[[#This Row],[Charging_Start_Time]])</f>
        <v>13</v>
      </c>
    </row>
    <row r="89" spans="1:10" x14ac:dyDescent="0.3">
      <c r="A89" t="s">
        <v>113</v>
      </c>
      <c r="B89" t="s">
        <v>33</v>
      </c>
      <c r="C89" s="1">
        <v>45945</v>
      </c>
      <c r="D89" t="s">
        <v>24</v>
      </c>
      <c r="E89" s="3">
        <v>0.56527777777777777</v>
      </c>
      <c r="F89" s="4">
        <v>0.63680555555555551</v>
      </c>
      <c r="G89" s="2">
        <v>99.3</v>
      </c>
      <c r="H89" s="5">
        <v>993</v>
      </c>
      <c r="I89" t="s">
        <v>12</v>
      </c>
      <c r="J89">
        <f>HOUR(Table2[[#This Row],[Charging_Start_Time]])</f>
        <v>13</v>
      </c>
    </row>
    <row r="90" spans="1:10" x14ac:dyDescent="0.3">
      <c r="A90" t="s">
        <v>114</v>
      </c>
      <c r="B90" t="s">
        <v>20</v>
      </c>
      <c r="C90" s="1">
        <v>45945</v>
      </c>
      <c r="D90" t="s">
        <v>24</v>
      </c>
      <c r="E90" s="3">
        <v>0.76041666666666663</v>
      </c>
      <c r="F90" s="4">
        <v>0.85486111111111107</v>
      </c>
      <c r="G90" s="2">
        <v>82.4</v>
      </c>
      <c r="H90" s="5">
        <v>824</v>
      </c>
      <c r="I90" t="s">
        <v>22</v>
      </c>
      <c r="J90">
        <f>HOUR(Table2[[#This Row],[Charging_Start_Time]])</f>
        <v>18</v>
      </c>
    </row>
    <row r="91" spans="1:10" x14ac:dyDescent="0.3">
      <c r="A91" t="s">
        <v>115</v>
      </c>
      <c r="B91" t="s">
        <v>30</v>
      </c>
      <c r="C91" s="1">
        <v>45945</v>
      </c>
      <c r="D91" t="s">
        <v>11</v>
      </c>
      <c r="E91" s="3">
        <v>0.4375</v>
      </c>
      <c r="F91" s="4">
        <v>0.53333333333333333</v>
      </c>
      <c r="G91" s="2">
        <v>45.4</v>
      </c>
      <c r="H91" s="5">
        <v>454</v>
      </c>
      <c r="I91" t="s">
        <v>22</v>
      </c>
      <c r="J91">
        <f>HOUR(Table2[[#This Row],[Charging_Start_Time]])</f>
        <v>10</v>
      </c>
    </row>
    <row r="92" spans="1:10" x14ac:dyDescent="0.3">
      <c r="A92" t="s">
        <v>116</v>
      </c>
      <c r="B92" t="s">
        <v>52</v>
      </c>
      <c r="C92" s="1">
        <v>45945</v>
      </c>
      <c r="D92" t="s">
        <v>15</v>
      </c>
      <c r="E92" s="3">
        <v>0.79097222222222219</v>
      </c>
      <c r="F92" s="4">
        <v>0.8881944444444444</v>
      </c>
      <c r="G92" s="2">
        <v>48.7</v>
      </c>
      <c r="H92" s="5">
        <v>487</v>
      </c>
      <c r="I92" t="s">
        <v>12</v>
      </c>
      <c r="J92">
        <f>HOUR(Table2[[#This Row],[Charging_Start_Time]])</f>
        <v>18</v>
      </c>
    </row>
    <row r="93" spans="1:10" x14ac:dyDescent="0.3">
      <c r="A93" t="s">
        <v>117</v>
      </c>
      <c r="B93" t="s">
        <v>17</v>
      </c>
      <c r="C93" s="1">
        <v>45945</v>
      </c>
      <c r="D93" t="s">
        <v>28</v>
      </c>
      <c r="E93" s="3">
        <v>0.55069444444444449</v>
      </c>
      <c r="F93" s="4">
        <v>0.59861111111111109</v>
      </c>
      <c r="G93" s="2">
        <v>17.3</v>
      </c>
      <c r="H93" s="5">
        <v>173</v>
      </c>
      <c r="I93" t="s">
        <v>18</v>
      </c>
      <c r="J93">
        <f>HOUR(Table2[[#This Row],[Charging_Start_Time]])</f>
        <v>13</v>
      </c>
    </row>
    <row r="94" spans="1:10" x14ac:dyDescent="0.3">
      <c r="A94" t="s">
        <v>118</v>
      </c>
      <c r="B94" t="s">
        <v>30</v>
      </c>
      <c r="C94" s="1">
        <v>45945</v>
      </c>
      <c r="D94" t="s">
        <v>15</v>
      </c>
      <c r="E94" s="3">
        <v>0.68819444444444444</v>
      </c>
      <c r="F94" s="4">
        <v>0.80208333333333337</v>
      </c>
      <c r="G94" s="2">
        <v>93.4</v>
      </c>
      <c r="H94" s="5">
        <v>934</v>
      </c>
      <c r="I94" t="s">
        <v>22</v>
      </c>
      <c r="J94">
        <f>HOUR(Table2[[#This Row],[Charging_Start_Time]])</f>
        <v>16</v>
      </c>
    </row>
    <row r="95" spans="1:10" x14ac:dyDescent="0.3">
      <c r="A95" t="s">
        <v>119</v>
      </c>
      <c r="B95" t="s">
        <v>37</v>
      </c>
      <c r="C95" s="1">
        <v>45945</v>
      </c>
      <c r="D95" t="s">
        <v>28</v>
      </c>
      <c r="E95" s="3">
        <v>0.52708333333333335</v>
      </c>
      <c r="F95" s="4">
        <v>0.56666666666666665</v>
      </c>
      <c r="G95" s="2">
        <v>38</v>
      </c>
      <c r="H95" s="5">
        <v>380</v>
      </c>
      <c r="I95" t="s">
        <v>18</v>
      </c>
      <c r="J95">
        <f>HOUR(Table2[[#This Row],[Charging_Start_Time]])</f>
        <v>12</v>
      </c>
    </row>
    <row r="96" spans="1:10" x14ac:dyDescent="0.3">
      <c r="A96" t="s">
        <v>120</v>
      </c>
      <c r="B96" t="s">
        <v>37</v>
      </c>
      <c r="C96" s="1">
        <v>45945</v>
      </c>
      <c r="D96" t="s">
        <v>24</v>
      </c>
      <c r="E96" s="3">
        <v>0.31597222222222221</v>
      </c>
      <c r="F96" s="4">
        <v>0.41875000000000001</v>
      </c>
      <c r="G96" s="2">
        <v>44.8</v>
      </c>
      <c r="H96" s="5">
        <v>448</v>
      </c>
      <c r="I96" t="s">
        <v>22</v>
      </c>
      <c r="J96">
        <f>HOUR(Table2[[#This Row],[Charging_Start_Time]])</f>
        <v>7</v>
      </c>
    </row>
    <row r="97" spans="1:10" x14ac:dyDescent="0.3">
      <c r="A97" t="s">
        <v>121</v>
      </c>
      <c r="B97" t="s">
        <v>33</v>
      </c>
      <c r="C97" s="1">
        <v>45945</v>
      </c>
      <c r="D97" t="s">
        <v>24</v>
      </c>
      <c r="E97" s="3">
        <v>0.56458333333333333</v>
      </c>
      <c r="F97" s="4">
        <v>0.60833333333333328</v>
      </c>
      <c r="G97" s="2">
        <v>26.6</v>
      </c>
      <c r="H97" s="5">
        <v>266</v>
      </c>
      <c r="I97" t="s">
        <v>22</v>
      </c>
      <c r="J97">
        <f>HOUR(Table2[[#This Row],[Charging_Start_Time]])</f>
        <v>13</v>
      </c>
    </row>
    <row r="98" spans="1:10" x14ac:dyDescent="0.3">
      <c r="A98" t="s">
        <v>122</v>
      </c>
      <c r="B98" t="s">
        <v>52</v>
      </c>
      <c r="C98" s="1">
        <v>45945</v>
      </c>
      <c r="D98" t="s">
        <v>15</v>
      </c>
      <c r="E98" s="3">
        <v>0.78125</v>
      </c>
      <c r="F98" s="4">
        <v>0.89930555555555558</v>
      </c>
      <c r="G98" s="2">
        <v>8.6</v>
      </c>
      <c r="H98" s="5">
        <v>86</v>
      </c>
      <c r="I98" t="s">
        <v>12</v>
      </c>
      <c r="J98">
        <f>HOUR(Table2[[#This Row],[Charging_Start_Time]])</f>
        <v>18</v>
      </c>
    </row>
    <row r="99" spans="1:10" x14ac:dyDescent="0.3">
      <c r="A99" t="s">
        <v>123</v>
      </c>
      <c r="B99" t="s">
        <v>40</v>
      </c>
      <c r="C99" s="1">
        <v>45945</v>
      </c>
      <c r="D99" t="s">
        <v>28</v>
      </c>
      <c r="E99" s="3">
        <v>0.83472222222222225</v>
      </c>
      <c r="F99" s="4">
        <v>0.90277777777777779</v>
      </c>
      <c r="G99" s="2">
        <v>38.9</v>
      </c>
      <c r="H99" s="5">
        <v>389</v>
      </c>
      <c r="I99" t="s">
        <v>12</v>
      </c>
      <c r="J99">
        <f>HOUR(Table2[[#This Row],[Charging_Start_Time]])</f>
        <v>20</v>
      </c>
    </row>
    <row r="100" spans="1:10" x14ac:dyDescent="0.3">
      <c r="A100" t="s">
        <v>124</v>
      </c>
      <c r="B100" t="s">
        <v>40</v>
      </c>
      <c r="C100" s="1">
        <v>45945</v>
      </c>
      <c r="D100" t="s">
        <v>28</v>
      </c>
      <c r="E100" s="3">
        <v>0.49791666666666667</v>
      </c>
      <c r="F100" s="4">
        <v>0.58888888888888891</v>
      </c>
      <c r="G100" s="2">
        <v>68.900000000000006</v>
      </c>
      <c r="H100" s="5">
        <v>689</v>
      </c>
      <c r="I100" t="s">
        <v>12</v>
      </c>
      <c r="J100">
        <f>HOUR(Table2[[#This Row],[Charging_Start_Time]])</f>
        <v>11</v>
      </c>
    </row>
    <row r="101" spans="1:10" x14ac:dyDescent="0.3">
      <c r="A101" t="s">
        <v>125</v>
      </c>
      <c r="B101" t="s">
        <v>14</v>
      </c>
      <c r="C101" s="1">
        <v>45945</v>
      </c>
      <c r="D101" t="s">
        <v>24</v>
      </c>
      <c r="E101" s="3">
        <v>0.55208333333333337</v>
      </c>
      <c r="F101" s="4">
        <v>0.59513888888888888</v>
      </c>
      <c r="G101" s="2">
        <v>10.1</v>
      </c>
      <c r="H101" s="5">
        <v>101</v>
      </c>
      <c r="I101" t="s">
        <v>22</v>
      </c>
      <c r="J101">
        <f>HOUR(Table2[[#This Row],[Charging_Start_Time]])</f>
        <v>13</v>
      </c>
    </row>
    <row r="102" spans="1:10" x14ac:dyDescent="0.3">
      <c r="A102" t="s">
        <v>126</v>
      </c>
      <c r="B102" t="s">
        <v>14</v>
      </c>
      <c r="C102" s="1">
        <v>45945</v>
      </c>
      <c r="D102" t="s">
        <v>15</v>
      </c>
      <c r="E102" s="3">
        <v>0.44583333333333336</v>
      </c>
      <c r="F102" s="4">
        <v>0.52777777777777779</v>
      </c>
      <c r="G102" s="2">
        <v>46.4</v>
      </c>
      <c r="H102" s="5">
        <v>464</v>
      </c>
      <c r="I102" t="s">
        <v>12</v>
      </c>
      <c r="J102">
        <f>HOUR(Table2[[#This Row],[Charging_Start_Time]])</f>
        <v>10</v>
      </c>
    </row>
    <row r="103" spans="1:10" x14ac:dyDescent="0.3">
      <c r="A103" t="s">
        <v>127</v>
      </c>
      <c r="B103" t="s">
        <v>17</v>
      </c>
      <c r="C103" s="1">
        <v>45945</v>
      </c>
      <c r="D103" t="s">
        <v>24</v>
      </c>
      <c r="E103" s="3">
        <v>0.81388888888888888</v>
      </c>
      <c r="F103" s="4">
        <v>0.9145833333333333</v>
      </c>
      <c r="G103" s="2">
        <v>59.7</v>
      </c>
      <c r="H103" s="5">
        <v>597</v>
      </c>
      <c r="I103" t="s">
        <v>18</v>
      </c>
      <c r="J103">
        <f>HOUR(Table2[[#This Row],[Charging_Start_Time]])</f>
        <v>19</v>
      </c>
    </row>
    <row r="104" spans="1:10" x14ac:dyDescent="0.3">
      <c r="A104" t="s">
        <v>128</v>
      </c>
      <c r="B104" t="s">
        <v>20</v>
      </c>
      <c r="C104" s="1">
        <v>45945</v>
      </c>
      <c r="D104" t="s">
        <v>28</v>
      </c>
      <c r="E104" s="3">
        <v>0.42083333333333334</v>
      </c>
      <c r="F104" s="4">
        <v>0.47430555555555554</v>
      </c>
      <c r="G104" s="2">
        <v>67.900000000000006</v>
      </c>
      <c r="H104" s="5">
        <v>679</v>
      </c>
      <c r="I104" t="s">
        <v>18</v>
      </c>
      <c r="J104">
        <f>HOUR(Table2[[#This Row],[Charging_Start_Time]])</f>
        <v>10</v>
      </c>
    </row>
    <row r="105" spans="1:10" x14ac:dyDescent="0.3">
      <c r="A105" t="s">
        <v>129</v>
      </c>
      <c r="B105" t="s">
        <v>37</v>
      </c>
      <c r="C105" s="1">
        <v>45945</v>
      </c>
      <c r="D105" t="s">
        <v>24</v>
      </c>
      <c r="E105" s="3">
        <v>0.81805555555555554</v>
      </c>
      <c r="F105" s="4">
        <v>0.92847222222222225</v>
      </c>
      <c r="G105" s="2">
        <v>96.1</v>
      </c>
      <c r="H105" s="5">
        <v>961</v>
      </c>
      <c r="I105" t="s">
        <v>18</v>
      </c>
      <c r="J105">
        <f>HOUR(Table2[[#This Row],[Charging_Start_Time]])</f>
        <v>19</v>
      </c>
    </row>
    <row r="106" spans="1:10" x14ac:dyDescent="0.3">
      <c r="A106" t="s">
        <v>130</v>
      </c>
      <c r="B106" t="s">
        <v>17</v>
      </c>
      <c r="C106" s="1">
        <v>45945</v>
      </c>
      <c r="D106" t="s">
        <v>28</v>
      </c>
      <c r="E106" s="3">
        <v>0.72638888888888886</v>
      </c>
      <c r="F106" s="4">
        <v>0.80763888888888891</v>
      </c>
      <c r="G106" s="2">
        <v>3.2</v>
      </c>
      <c r="H106" s="5">
        <v>32</v>
      </c>
      <c r="I106" t="s">
        <v>12</v>
      </c>
      <c r="J106">
        <f>HOUR(Table2[[#This Row],[Charging_Start_Time]])</f>
        <v>17</v>
      </c>
    </row>
    <row r="107" spans="1:10" x14ac:dyDescent="0.3">
      <c r="A107" t="s">
        <v>131</v>
      </c>
      <c r="B107" t="s">
        <v>17</v>
      </c>
      <c r="C107" s="1">
        <v>45945</v>
      </c>
      <c r="D107" t="s">
        <v>15</v>
      </c>
      <c r="E107" s="3">
        <v>0.67013888888888884</v>
      </c>
      <c r="F107" s="4">
        <v>0.69236111111111109</v>
      </c>
      <c r="G107" s="2">
        <v>83.5</v>
      </c>
      <c r="H107" s="5">
        <v>835</v>
      </c>
      <c r="I107" t="s">
        <v>22</v>
      </c>
      <c r="J107">
        <f>HOUR(Table2[[#This Row],[Charging_Start_Time]])</f>
        <v>16</v>
      </c>
    </row>
    <row r="108" spans="1:10" x14ac:dyDescent="0.3">
      <c r="A108" t="s">
        <v>132</v>
      </c>
      <c r="B108" t="s">
        <v>52</v>
      </c>
      <c r="C108" s="1">
        <v>45945</v>
      </c>
      <c r="D108" t="s">
        <v>24</v>
      </c>
      <c r="E108" s="3">
        <v>0.6645833333333333</v>
      </c>
      <c r="F108" s="4">
        <v>0.77500000000000002</v>
      </c>
      <c r="G108" s="2">
        <v>38</v>
      </c>
      <c r="H108" s="5">
        <v>380</v>
      </c>
      <c r="I108" t="s">
        <v>12</v>
      </c>
      <c r="J108">
        <f>HOUR(Table2[[#This Row],[Charging_Start_Time]])</f>
        <v>15</v>
      </c>
    </row>
    <row r="109" spans="1:10" x14ac:dyDescent="0.3">
      <c r="A109" t="s">
        <v>133</v>
      </c>
      <c r="B109" t="s">
        <v>52</v>
      </c>
      <c r="C109" s="1">
        <v>45945</v>
      </c>
      <c r="D109" t="s">
        <v>28</v>
      </c>
      <c r="E109" s="3">
        <v>0.44930555555555557</v>
      </c>
      <c r="F109" s="4">
        <v>0.56458333333333333</v>
      </c>
      <c r="G109" s="2">
        <v>42.6</v>
      </c>
      <c r="H109" s="5">
        <v>426</v>
      </c>
      <c r="I109" t="s">
        <v>18</v>
      </c>
      <c r="J109">
        <f>HOUR(Table2[[#This Row],[Charging_Start_Time]])</f>
        <v>10</v>
      </c>
    </row>
    <row r="110" spans="1:10" x14ac:dyDescent="0.3">
      <c r="A110" t="s">
        <v>134</v>
      </c>
      <c r="B110" t="s">
        <v>26</v>
      </c>
      <c r="C110" s="1">
        <v>45945</v>
      </c>
      <c r="D110" t="s">
        <v>24</v>
      </c>
      <c r="E110" s="3">
        <v>0.78125</v>
      </c>
      <c r="F110" s="4">
        <v>0.87569444444444444</v>
      </c>
      <c r="G110" s="2">
        <v>74.3</v>
      </c>
      <c r="H110" s="5">
        <v>743</v>
      </c>
      <c r="I110" t="s">
        <v>18</v>
      </c>
      <c r="J110">
        <f>HOUR(Table2[[#This Row],[Charging_Start_Time]])</f>
        <v>18</v>
      </c>
    </row>
    <row r="111" spans="1:10" x14ac:dyDescent="0.3">
      <c r="A111" t="s">
        <v>135</v>
      </c>
      <c r="B111" t="s">
        <v>14</v>
      </c>
      <c r="C111" s="1">
        <v>45945</v>
      </c>
      <c r="D111" t="s">
        <v>11</v>
      </c>
      <c r="E111" s="3">
        <v>0.59652777777777777</v>
      </c>
      <c r="F111" s="4">
        <v>0.65</v>
      </c>
      <c r="G111" s="2">
        <v>38.299999999999997</v>
      </c>
      <c r="H111" s="5">
        <v>383</v>
      </c>
      <c r="I111" t="s">
        <v>12</v>
      </c>
      <c r="J111">
        <f>HOUR(Table2[[#This Row],[Charging_Start_Time]])</f>
        <v>14</v>
      </c>
    </row>
    <row r="112" spans="1:10" x14ac:dyDescent="0.3">
      <c r="A112" t="s">
        <v>136</v>
      </c>
      <c r="B112" t="s">
        <v>33</v>
      </c>
      <c r="C112" s="1">
        <v>45945</v>
      </c>
      <c r="D112" t="s">
        <v>11</v>
      </c>
      <c r="E112" s="3">
        <v>0.59027777777777779</v>
      </c>
      <c r="F112" s="4">
        <v>0.65833333333333333</v>
      </c>
      <c r="G112" s="2">
        <v>64.3</v>
      </c>
      <c r="H112" s="5">
        <v>643</v>
      </c>
      <c r="I112" t="s">
        <v>18</v>
      </c>
      <c r="J112">
        <f>HOUR(Table2[[#This Row],[Charging_Start_Time]])</f>
        <v>14</v>
      </c>
    </row>
    <row r="113" spans="1:10" x14ac:dyDescent="0.3">
      <c r="A113" t="s">
        <v>137</v>
      </c>
      <c r="B113" t="s">
        <v>52</v>
      </c>
      <c r="C113" s="1">
        <v>45945</v>
      </c>
      <c r="D113" t="s">
        <v>11</v>
      </c>
      <c r="E113" s="3">
        <v>0.53680555555555554</v>
      </c>
      <c r="F113" s="4">
        <v>0.55833333333333335</v>
      </c>
      <c r="G113" s="2">
        <v>21</v>
      </c>
      <c r="H113" s="5">
        <v>210</v>
      </c>
      <c r="I113" t="s">
        <v>12</v>
      </c>
      <c r="J113">
        <f>HOUR(Table2[[#This Row],[Charging_Start_Time]])</f>
        <v>12</v>
      </c>
    </row>
    <row r="114" spans="1:10" x14ac:dyDescent="0.3">
      <c r="A114" t="s">
        <v>138</v>
      </c>
      <c r="B114" t="s">
        <v>20</v>
      </c>
      <c r="C114" s="1">
        <v>45945</v>
      </c>
      <c r="D114" t="s">
        <v>24</v>
      </c>
      <c r="E114" s="3">
        <v>0.64513888888888893</v>
      </c>
      <c r="F114" s="4">
        <v>0.72291666666666665</v>
      </c>
      <c r="G114" s="2">
        <v>73.2</v>
      </c>
      <c r="H114" s="5">
        <v>732</v>
      </c>
      <c r="I114" t="s">
        <v>12</v>
      </c>
      <c r="J114">
        <f>HOUR(Table2[[#This Row],[Charging_Start_Time]])</f>
        <v>15</v>
      </c>
    </row>
    <row r="115" spans="1:10" x14ac:dyDescent="0.3">
      <c r="A115" t="s">
        <v>139</v>
      </c>
      <c r="B115" t="s">
        <v>40</v>
      </c>
      <c r="C115" s="1">
        <v>45945</v>
      </c>
      <c r="D115" t="s">
        <v>15</v>
      </c>
      <c r="E115" s="3">
        <v>0.78611111111111109</v>
      </c>
      <c r="F115" s="4">
        <v>0.86597222222222225</v>
      </c>
      <c r="G115" s="2">
        <v>19.600000000000001</v>
      </c>
      <c r="H115" s="5">
        <v>196</v>
      </c>
      <c r="I115" t="s">
        <v>18</v>
      </c>
      <c r="J115">
        <f>HOUR(Table2[[#This Row],[Charging_Start_Time]])</f>
        <v>18</v>
      </c>
    </row>
    <row r="116" spans="1:10" x14ac:dyDescent="0.3">
      <c r="A116" t="s">
        <v>140</v>
      </c>
      <c r="B116" t="s">
        <v>40</v>
      </c>
      <c r="C116" s="1">
        <v>45945</v>
      </c>
      <c r="D116" t="s">
        <v>28</v>
      </c>
      <c r="E116" s="3">
        <v>0.29097222222222224</v>
      </c>
      <c r="F116" s="4">
        <v>0.38124999999999998</v>
      </c>
      <c r="G116" s="2">
        <v>24.1</v>
      </c>
      <c r="H116" s="5">
        <v>241</v>
      </c>
      <c r="I116" t="s">
        <v>18</v>
      </c>
      <c r="J116">
        <f>HOUR(Table2[[#This Row],[Charging_Start_Time]])</f>
        <v>6</v>
      </c>
    </row>
    <row r="117" spans="1:10" x14ac:dyDescent="0.3">
      <c r="A117" t="s">
        <v>141</v>
      </c>
      <c r="B117" t="s">
        <v>10</v>
      </c>
      <c r="C117" s="1">
        <v>45945</v>
      </c>
      <c r="D117" t="s">
        <v>24</v>
      </c>
      <c r="E117" s="3">
        <v>0.4826388888888889</v>
      </c>
      <c r="F117" s="4">
        <v>0.59652777777777777</v>
      </c>
      <c r="G117" s="2">
        <v>29.8</v>
      </c>
      <c r="H117" s="5">
        <v>298</v>
      </c>
      <c r="I117" t="s">
        <v>22</v>
      </c>
      <c r="J117">
        <f>HOUR(Table2[[#This Row],[Charging_Start_Time]])</f>
        <v>11</v>
      </c>
    </row>
    <row r="118" spans="1:10" x14ac:dyDescent="0.3">
      <c r="A118" t="s">
        <v>142</v>
      </c>
      <c r="B118" t="s">
        <v>52</v>
      </c>
      <c r="C118" s="1">
        <v>45945</v>
      </c>
      <c r="D118" t="s">
        <v>28</v>
      </c>
      <c r="E118" s="3">
        <v>0.30902777777777779</v>
      </c>
      <c r="F118" s="4">
        <v>0.41180555555555554</v>
      </c>
      <c r="G118" s="2">
        <v>86.8</v>
      </c>
      <c r="H118" s="5">
        <v>868</v>
      </c>
      <c r="I118" t="s">
        <v>22</v>
      </c>
      <c r="J118">
        <f>HOUR(Table2[[#This Row],[Charging_Start_Time]])</f>
        <v>7</v>
      </c>
    </row>
    <row r="119" spans="1:10" x14ac:dyDescent="0.3">
      <c r="A119" t="s">
        <v>143</v>
      </c>
      <c r="B119" t="s">
        <v>40</v>
      </c>
      <c r="C119" s="1">
        <v>45945</v>
      </c>
      <c r="D119" t="s">
        <v>24</v>
      </c>
      <c r="E119" s="3">
        <v>0.34930555555555554</v>
      </c>
      <c r="F119" s="4">
        <v>0.42430555555555555</v>
      </c>
      <c r="G119" s="2">
        <v>26.8</v>
      </c>
      <c r="H119" s="5">
        <v>268</v>
      </c>
      <c r="I119" t="s">
        <v>22</v>
      </c>
      <c r="J119">
        <f>HOUR(Table2[[#This Row],[Charging_Start_Time]])</f>
        <v>8</v>
      </c>
    </row>
    <row r="120" spans="1:10" x14ac:dyDescent="0.3">
      <c r="A120" t="s">
        <v>144</v>
      </c>
      <c r="B120" t="s">
        <v>26</v>
      </c>
      <c r="C120" s="1">
        <v>45945</v>
      </c>
      <c r="D120" t="s">
        <v>28</v>
      </c>
      <c r="E120" s="3">
        <v>0.46111111111111114</v>
      </c>
      <c r="F120" s="4">
        <v>0.56666666666666665</v>
      </c>
      <c r="G120" s="2">
        <v>97.4</v>
      </c>
      <c r="H120" s="5">
        <v>974</v>
      </c>
      <c r="I120" t="s">
        <v>22</v>
      </c>
      <c r="J120">
        <f>HOUR(Table2[[#This Row],[Charging_Start_Time]])</f>
        <v>11</v>
      </c>
    </row>
    <row r="121" spans="1:10" x14ac:dyDescent="0.3">
      <c r="A121" t="s">
        <v>145</v>
      </c>
      <c r="B121" t="s">
        <v>52</v>
      </c>
      <c r="C121" s="1">
        <v>45945</v>
      </c>
      <c r="D121" t="s">
        <v>15</v>
      </c>
      <c r="E121" s="3">
        <v>0.41875000000000001</v>
      </c>
      <c r="F121" s="4">
        <v>0.52430555555555558</v>
      </c>
      <c r="G121" s="2">
        <v>44.6</v>
      </c>
      <c r="H121" s="5">
        <v>446</v>
      </c>
      <c r="I121" t="s">
        <v>18</v>
      </c>
      <c r="J121">
        <f>HOUR(Table2[[#This Row],[Charging_Start_Time]])</f>
        <v>10</v>
      </c>
    </row>
    <row r="122" spans="1:10" x14ac:dyDescent="0.3">
      <c r="A122" t="s">
        <v>146</v>
      </c>
      <c r="B122" t="s">
        <v>26</v>
      </c>
      <c r="C122" s="1">
        <v>45945</v>
      </c>
      <c r="D122" t="s">
        <v>24</v>
      </c>
      <c r="E122" s="3">
        <v>0.28125</v>
      </c>
      <c r="F122" s="4">
        <v>0.30208333333333331</v>
      </c>
      <c r="G122" s="2">
        <v>50.9</v>
      </c>
      <c r="H122" s="5">
        <v>509</v>
      </c>
      <c r="I122" t="s">
        <v>12</v>
      </c>
      <c r="J122">
        <f>HOUR(Table2[[#This Row],[Charging_Start_Time]])</f>
        <v>6</v>
      </c>
    </row>
    <row r="123" spans="1:10" x14ac:dyDescent="0.3">
      <c r="A123" t="s">
        <v>147</v>
      </c>
      <c r="B123" t="s">
        <v>52</v>
      </c>
      <c r="C123" s="1">
        <v>45945</v>
      </c>
      <c r="D123" t="s">
        <v>11</v>
      </c>
      <c r="E123" s="3">
        <v>0.67847222222222225</v>
      </c>
      <c r="F123" s="4">
        <v>0.77083333333333337</v>
      </c>
      <c r="G123" s="2">
        <v>73.3</v>
      </c>
      <c r="H123" s="5">
        <v>733</v>
      </c>
      <c r="I123" t="s">
        <v>18</v>
      </c>
      <c r="J123">
        <f>HOUR(Table2[[#This Row],[Charging_Start_Time]])</f>
        <v>16</v>
      </c>
    </row>
    <row r="124" spans="1:10" x14ac:dyDescent="0.3">
      <c r="A124" t="s">
        <v>148</v>
      </c>
      <c r="B124" t="s">
        <v>14</v>
      </c>
      <c r="C124" s="1">
        <v>45945</v>
      </c>
      <c r="D124" t="s">
        <v>24</v>
      </c>
      <c r="E124" s="3">
        <v>0.43402777777777779</v>
      </c>
      <c r="F124" s="4">
        <v>0.5493055555555556</v>
      </c>
      <c r="G124" s="2">
        <v>67</v>
      </c>
      <c r="H124" s="5">
        <v>670</v>
      </c>
      <c r="I124" t="s">
        <v>18</v>
      </c>
      <c r="J124">
        <f>HOUR(Table2[[#This Row],[Charging_Start_Time]])</f>
        <v>10</v>
      </c>
    </row>
    <row r="125" spans="1:10" x14ac:dyDescent="0.3">
      <c r="A125" t="s">
        <v>149</v>
      </c>
      <c r="B125" t="s">
        <v>30</v>
      </c>
      <c r="C125" s="1">
        <v>45945</v>
      </c>
      <c r="D125" t="s">
        <v>24</v>
      </c>
      <c r="E125" s="3">
        <v>0.34444444444444444</v>
      </c>
      <c r="F125" s="4">
        <v>0.39305555555555555</v>
      </c>
      <c r="G125" s="2">
        <v>59.8</v>
      </c>
      <c r="H125" s="5">
        <v>598</v>
      </c>
      <c r="I125" t="s">
        <v>18</v>
      </c>
      <c r="J125">
        <f>HOUR(Table2[[#This Row],[Charging_Start_Time]])</f>
        <v>8</v>
      </c>
    </row>
    <row r="126" spans="1:10" x14ac:dyDescent="0.3">
      <c r="A126" t="s">
        <v>150</v>
      </c>
      <c r="B126" t="s">
        <v>26</v>
      </c>
      <c r="C126" s="1">
        <v>45945</v>
      </c>
      <c r="D126" t="s">
        <v>24</v>
      </c>
      <c r="E126" s="3">
        <v>0.75416666666666665</v>
      </c>
      <c r="F126" s="4">
        <v>0.84375</v>
      </c>
      <c r="G126" s="2">
        <v>82.5</v>
      </c>
      <c r="H126" s="5">
        <v>825</v>
      </c>
      <c r="I126" t="s">
        <v>22</v>
      </c>
      <c r="J126">
        <f>HOUR(Table2[[#This Row],[Charging_Start_Time]])</f>
        <v>18</v>
      </c>
    </row>
    <row r="127" spans="1:10" x14ac:dyDescent="0.3">
      <c r="A127" t="s">
        <v>151</v>
      </c>
      <c r="B127" t="s">
        <v>30</v>
      </c>
      <c r="C127" s="1">
        <v>45945</v>
      </c>
      <c r="D127" t="s">
        <v>28</v>
      </c>
      <c r="E127" s="3">
        <v>0.30138888888888887</v>
      </c>
      <c r="F127" s="4">
        <v>0.35972222222222222</v>
      </c>
      <c r="G127" s="2">
        <v>91.9</v>
      </c>
      <c r="H127" s="5">
        <v>919</v>
      </c>
      <c r="I127" t="s">
        <v>22</v>
      </c>
      <c r="J127">
        <f>HOUR(Table2[[#This Row],[Charging_Start_Time]])</f>
        <v>7</v>
      </c>
    </row>
    <row r="128" spans="1:10" x14ac:dyDescent="0.3">
      <c r="A128" t="s">
        <v>152</v>
      </c>
      <c r="B128" t="s">
        <v>40</v>
      </c>
      <c r="C128" s="1">
        <v>45945</v>
      </c>
      <c r="D128" t="s">
        <v>24</v>
      </c>
      <c r="E128" s="3">
        <v>0.34097222222222223</v>
      </c>
      <c r="F128" s="4">
        <v>0.4375</v>
      </c>
      <c r="G128" s="2">
        <v>44.6</v>
      </c>
      <c r="H128" s="5">
        <v>446</v>
      </c>
      <c r="I128" t="s">
        <v>22</v>
      </c>
      <c r="J128">
        <f>HOUR(Table2[[#This Row],[Charging_Start_Time]])</f>
        <v>8</v>
      </c>
    </row>
    <row r="129" spans="1:10" x14ac:dyDescent="0.3">
      <c r="A129" t="s">
        <v>153</v>
      </c>
      <c r="B129" t="s">
        <v>26</v>
      </c>
      <c r="C129" s="1">
        <v>45945</v>
      </c>
      <c r="D129" t="s">
        <v>24</v>
      </c>
      <c r="E129" s="3">
        <v>0.4909722222222222</v>
      </c>
      <c r="F129" s="4">
        <v>0.6</v>
      </c>
      <c r="G129" s="2">
        <v>49.5</v>
      </c>
      <c r="H129" s="5">
        <v>495</v>
      </c>
      <c r="I129" t="s">
        <v>18</v>
      </c>
      <c r="J129">
        <f>HOUR(Table2[[#This Row],[Charging_Start_Time]])</f>
        <v>11</v>
      </c>
    </row>
    <row r="130" spans="1:10" x14ac:dyDescent="0.3">
      <c r="A130" t="s">
        <v>154</v>
      </c>
      <c r="B130" t="s">
        <v>40</v>
      </c>
      <c r="C130" s="1">
        <v>45945</v>
      </c>
      <c r="D130" t="s">
        <v>15</v>
      </c>
      <c r="E130" s="3">
        <v>0.33402777777777776</v>
      </c>
      <c r="F130" s="4">
        <v>0.38124999999999998</v>
      </c>
      <c r="G130" s="2">
        <v>79.400000000000006</v>
      </c>
      <c r="H130" s="5">
        <v>794</v>
      </c>
      <c r="I130" t="s">
        <v>12</v>
      </c>
      <c r="J130">
        <f>HOUR(Table2[[#This Row],[Charging_Start_Time]])</f>
        <v>8</v>
      </c>
    </row>
    <row r="131" spans="1:10" x14ac:dyDescent="0.3">
      <c r="A131" t="s">
        <v>155</v>
      </c>
      <c r="B131" t="s">
        <v>26</v>
      </c>
      <c r="C131" s="1">
        <v>45945</v>
      </c>
      <c r="D131" t="s">
        <v>24</v>
      </c>
      <c r="E131" s="3">
        <v>0.52430555555555558</v>
      </c>
      <c r="F131" s="4">
        <v>0.60138888888888886</v>
      </c>
      <c r="G131" s="2">
        <v>43.3</v>
      </c>
      <c r="H131" s="5">
        <v>433</v>
      </c>
      <c r="I131" t="s">
        <v>18</v>
      </c>
      <c r="J131">
        <f>HOUR(Table2[[#This Row],[Charging_Start_Time]])</f>
        <v>12</v>
      </c>
    </row>
    <row r="132" spans="1:10" x14ac:dyDescent="0.3">
      <c r="A132" t="s">
        <v>156</v>
      </c>
      <c r="B132" t="s">
        <v>37</v>
      </c>
      <c r="C132" s="1">
        <v>45945</v>
      </c>
      <c r="D132" t="s">
        <v>15</v>
      </c>
      <c r="E132" s="3">
        <v>0.47916666666666669</v>
      </c>
      <c r="F132" s="4">
        <v>0.53402777777777777</v>
      </c>
      <c r="G132" s="2">
        <v>43.8</v>
      </c>
      <c r="H132" s="5">
        <v>438</v>
      </c>
      <c r="I132" t="s">
        <v>12</v>
      </c>
      <c r="J132">
        <f>HOUR(Table2[[#This Row],[Charging_Start_Time]])</f>
        <v>11</v>
      </c>
    </row>
    <row r="133" spans="1:10" x14ac:dyDescent="0.3">
      <c r="A133" t="s">
        <v>157</v>
      </c>
      <c r="B133" t="s">
        <v>40</v>
      </c>
      <c r="C133" s="1">
        <v>45945</v>
      </c>
      <c r="D133" t="s">
        <v>28</v>
      </c>
      <c r="E133" s="3">
        <v>0.29652777777777778</v>
      </c>
      <c r="F133" s="4">
        <v>0.37430555555555556</v>
      </c>
      <c r="G133" s="2">
        <v>69.5</v>
      </c>
      <c r="H133" s="5">
        <v>695</v>
      </c>
      <c r="I133" t="s">
        <v>12</v>
      </c>
      <c r="J133">
        <f>HOUR(Table2[[#This Row],[Charging_Start_Time]])</f>
        <v>7</v>
      </c>
    </row>
    <row r="134" spans="1:10" x14ac:dyDescent="0.3">
      <c r="A134" t="s">
        <v>158</v>
      </c>
      <c r="B134" t="s">
        <v>37</v>
      </c>
      <c r="C134" s="1">
        <v>45945</v>
      </c>
      <c r="D134" t="s">
        <v>28</v>
      </c>
      <c r="E134" s="3">
        <v>0.73750000000000004</v>
      </c>
      <c r="F134" s="4">
        <v>0.84652777777777777</v>
      </c>
      <c r="G134" s="2">
        <v>44.1</v>
      </c>
      <c r="H134" s="5">
        <v>441</v>
      </c>
      <c r="I134" t="s">
        <v>22</v>
      </c>
      <c r="J134">
        <f>HOUR(Table2[[#This Row],[Charging_Start_Time]])</f>
        <v>17</v>
      </c>
    </row>
    <row r="135" spans="1:10" x14ac:dyDescent="0.3">
      <c r="A135" t="s">
        <v>159</v>
      </c>
      <c r="B135" t="s">
        <v>17</v>
      </c>
      <c r="C135" s="1">
        <v>45945</v>
      </c>
      <c r="D135" t="s">
        <v>28</v>
      </c>
      <c r="E135" s="3">
        <v>0.37638888888888888</v>
      </c>
      <c r="F135" s="4">
        <v>0.49791666666666667</v>
      </c>
      <c r="G135" s="2">
        <v>35.799999999999997</v>
      </c>
      <c r="H135" s="5">
        <v>358</v>
      </c>
      <c r="I135" t="s">
        <v>18</v>
      </c>
      <c r="J135">
        <f>HOUR(Table2[[#This Row],[Charging_Start_Time]])</f>
        <v>9</v>
      </c>
    </row>
    <row r="136" spans="1:10" x14ac:dyDescent="0.3">
      <c r="A136" t="s">
        <v>160</v>
      </c>
      <c r="B136" t="s">
        <v>37</v>
      </c>
      <c r="C136" s="1">
        <v>45945</v>
      </c>
      <c r="D136" t="s">
        <v>24</v>
      </c>
      <c r="E136" s="3">
        <v>0.65694444444444444</v>
      </c>
      <c r="F136" s="4">
        <v>0.68819444444444444</v>
      </c>
      <c r="G136" s="2">
        <v>94.2</v>
      </c>
      <c r="H136" s="5">
        <v>942</v>
      </c>
      <c r="I136" t="s">
        <v>12</v>
      </c>
      <c r="J136">
        <f>HOUR(Table2[[#This Row],[Charging_Start_Time]])</f>
        <v>15</v>
      </c>
    </row>
    <row r="137" spans="1:10" x14ac:dyDescent="0.3">
      <c r="A137" t="s">
        <v>161</v>
      </c>
      <c r="B137" t="s">
        <v>37</v>
      </c>
      <c r="C137" s="1">
        <v>45945</v>
      </c>
      <c r="D137" t="s">
        <v>15</v>
      </c>
      <c r="E137" s="3">
        <v>0.75208333333333333</v>
      </c>
      <c r="F137" s="4">
        <v>0.80902777777777779</v>
      </c>
      <c r="G137" s="2">
        <v>63.6</v>
      </c>
      <c r="H137" s="5">
        <v>636</v>
      </c>
      <c r="I137" t="s">
        <v>12</v>
      </c>
      <c r="J137">
        <f>HOUR(Table2[[#This Row],[Charging_Start_Time]])</f>
        <v>18</v>
      </c>
    </row>
    <row r="138" spans="1:10" x14ac:dyDescent="0.3">
      <c r="A138" t="s">
        <v>162</v>
      </c>
      <c r="B138" t="s">
        <v>40</v>
      </c>
      <c r="C138" s="1">
        <v>45945</v>
      </c>
      <c r="D138" t="s">
        <v>15</v>
      </c>
      <c r="E138" s="3">
        <v>0.625</v>
      </c>
      <c r="F138" s="4">
        <v>0.73402777777777772</v>
      </c>
      <c r="G138" s="2">
        <v>49.4</v>
      </c>
      <c r="H138" s="5">
        <v>494</v>
      </c>
      <c r="I138" t="s">
        <v>18</v>
      </c>
      <c r="J138">
        <f>HOUR(Table2[[#This Row],[Charging_Start_Time]])</f>
        <v>15</v>
      </c>
    </row>
    <row r="139" spans="1:10" x14ac:dyDescent="0.3">
      <c r="A139" t="s">
        <v>163</v>
      </c>
      <c r="B139" t="s">
        <v>17</v>
      </c>
      <c r="C139" s="1">
        <v>45945</v>
      </c>
      <c r="D139" t="s">
        <v>24</v>
      </c>
      <c r="E139" s="3">
        <v>0.29166666666666669</v>
      </c>
      <c r="F139" s="4">
        <v>0.37152777777777779</v>
      </c>
      <c r="G139" s="2">
        <v>28.7</v>
      </c>
      <c r="H139" s="5">
        <v>287</v>
      </c>
      <c r="I139" t="s">
        <v>12</v>
      </c>
      <c r="J139">
        <f>HOUR(Table2[[#This Row],[Charging_Start_Time]])</f>
        <v>7</v>
      </c>
    </row>
    <row r="140" spans="1:10" x14ac:dyDescent="0.3">
      <c r="A140" t="s">
        <v>164</v>
      </c>
      <c r="B140" t="s">
        <v>26</v>
      </c>
      <c r="C140" s="1">
        <v>45945</v>
      </c>
      <c r="D140" t="s">
        <v>15</v>
      </c>
      <c r="E140" s="3">
        <v>0.50416666666666665</v>
      </c>
      <c r="F140" s="4">
        <v>0.57222222222222219</v>
      </c>
      <c r="G140" s="2">
        <v>87.8</v>
      </c>
      <c r="H140" s="5">
        <v>878</v>
      </c>
      <c r="I140" t="s">
        <v>22</v>
      </c>
      <c r="J140">
        <f>HOUR(Table2[[#This Row],[Charging_Start_Time]])</f>
        <v>12</v>
      </c>
    </row>
    <row r="141" spans="1:10" x14ac:dyDescent="0.3">
      <c r="A141" t="s">
        <v>165</v>
      </c>
      <c r="B141" t="s">
        <v>20</v>
      </c>
      <c r="C141" s="1">
        <v>45945</v>
      </c>
      <c r="D141" t="s">
        <v>24</v>
      </c>
      <c r="E141" s="3">
        <v>0.35</v>
      </c>
      <c r="F141" s="4">
        <v>0.37430555555555556</v>
      </c>
      <c r="G141" s="2">
        <v>29.4</v>
      </c>
      <c r="H141" s="5">
        <v>294</v>
      </c>
      <c r="I141" t="s">
        <v>18</v>
      </c>
      <c r="J141">
        <f>HOUR(Table2[[#This Row],[Charging_Start_Time]])</f>
        <v>8</v>
      </c>
    </row>
    <row r="142" spans="1:10" x14ac:dyDescent="0.3">
      <c r="A142" t="s">
        <v>166</v>
      </c>
      <c r="B142" t="s">
        <v>30</v>
      </c>
      <c r="C142" s="1">
        <v>45945</v>
      </c>
      <c r="D142" t="s">
        <v>24</v>
      </c>
      <c r="E142" s="3">
        <v>0.33402777777777776</v>
      </c>
      <c r="F142" s="4">
        <v>0.40347222222222223</v>
      </c>
      <c r="G142" s="2">
        <v>72.5</v>
      </c>
      <c r="H142" s="5">
        <v>725</v>
      </c>
      <c r="I142" t="s">
        <v>22</v>
      </c>
      <c r="J142">
        <f>HOUR(Table2[[#This Row],[Charging_Start_Time]])</f>
        <v>8</v>
      </c>
    </row>
    <row r="143" spans="1:10" x14ac:dyDescent="0.3">
      <c r="A143" t="s">
        <v>167</v>
      </c>
      <c r="B143" t="s">
        <v>40</v>
      </c>
      <c r="C143" s="1">
        <v>45945</v>
      </c>
      <c r="D143" t="s">
        <v>28</v>
      </c>
      <c r="E143" s="3">
        <v>0.62777777777777777</v>
      </c>
      <c r="F143" s="4">
        <v>0.66874999999999996</v>
      </c>
      <c r="G143" s="2">
        <v>26.3</v>
      </c>
      <c r="H143" s="5">
        <v>263</v>
      </c>
      <c r="I143" t="s">
        <v>12</v>
      </c>
      <c r="J143">
        <f>HOUR(Table2[[#This Row],[Charging_Start_Time]])</f>
        <v>15</v>
      </c>
    </row>
    <row r="144" spans="1:10" x14ac:dyDescent="0.3">
      <c r="A144" t="s">
        <v>168</v>
      </c>
      <c r="B144" t="s">
        <v>17</v>
      </c>
      <c r="C144" s="1">
        <v>45945</v>
      </c>
      <c r="D144" t="s">
        <v>24</v>
      </c>
      <c r="E144" s="3">
        <v>0.74583333333333335</v>
      </c>
      <c r="F144" s="4">
        <v>0.78611111111111109</v>
      </c>
      <c r="G144" s="2">
        <v>93.1</v>
      </c>
      <c r="H144" s="5">
        <v>931</v>
      </c>
      <c r="I144" t="s">
        <v>22</v>
      </c>
      <c r="J144">
        <f>HOUR(Table2[[#This Row],[Charging_Start_Time]])</f>
        <v>17</v>
      </c>
    </row>
    <row r="145" spans="1:10" x14ac:dyDescent="0.3">
      <c r="A145" t="s">
        <v>169</v>
      </c>
      <c r="B145" t="s">
        <v>40</v>
      </c>
      <c r="C145" s="1">
        <v>45945</v>
      </c>
      <c r="D145" t="s">
        <v>11</v>
      </c>
      <c r="E145" s="3">
        <v>0.28472222222222221</v>
      </c>
      <c r="F145" s="4">
        <v>0.33055555555555555</v>
      </c>
      <c r="G145" s="2">
        <v>49.1</v>
      </c>
      <c r="H145" s="5">
        <v>491</v>
      </c>
      <c r="I145" t="s">
        <v>12</v>
      </c>
      <c r="J145">
        <f>HOUR(Table2[[#This Row],[Charging_Start_Time]])</f>
        <v>6</v>
      </c>
    </row>
    <row r="146" spans="1:10" x14ac:dyDescent="0.3">
      <c r="A146" t="s">
        <v>170</v>
      </c>
      <c r="B146" t="s">
        <v>10</v>
      </c>
      <c r="C146" s="1">
        <v>45945</v>
      </c>
      <c r="D146" t="s">
        <v>15</v>
      </c>
      <c r="E146" s="3">
        <v>0.4597222222222222</v>
      </c>
      <c r="F146" s="4">
        <v>0.50486111111111109</v>
      </c>
      <c r="G146" s="2">
        <v>66.099999999999994</v>
      </c>
      <c r="H146" s="5">
        <v>661</v>
      </c>
      <c r="I146" t="s">
        <v>12</v>
      </c>
      <c r="J146">
        <f>HOUR(Table2[[#This Row],[Charging_Start_Time]])</f>
        <v>11</v>
      </c>
    </row>
    <row r="147" spans="1:10" x14ac:dyDescent="0.3">
      <c r="A147" t="s">
        <v>171</v>
      </c>
      <c r="B147" t="s">
        <v>30</v>
      </c>
      <c r="C147" s="1">
        <v>45945</v>
      </c>
      <c r="D147" t="s">
        <v>28</v>
      </c>
      <c r="E147" s="3">
        <v>0.84513888888888888</v>
      </c>
      <c r="F147" s="4">
        <v>0.87083333333333335</v>
      </c>
      <c r="G147" s="2">
        <v>12.9</v>
      </c>
      <c r="H147" s="5">
        <v>129</v>
      </c>
      <c r="I147" t="s">
        <v>18</v>
      </c>
      <c r="J147">
        <f>HOUR(Table2[[#This Row],[Charging_Start_Time]])</f>
        <v>20</v>
      </c>
    </row>
    <row r="148" spans="1:10" x14ac:dyDescent="0.3">
      <c r="A148" t="s">
        <v>172</v>
      </c>
      <c r="B148" t="s">
        <v>37</v>
      </c>
      <c r="C148" s="1">
        <v>45945</v>
      </c>
      <c r="D148" t="s">
        <v>15</v>
      </c>
      <c r="E148" s="3">
        <v>0.7270833333333333</v>
      </c>
      <c r="F148" s="4">
        <v>0.84652777777777777</v>
      </c>
      <c r="G148" s="2">
        <v>26.3</v>
      </c>
      <c r="H148" s="5">
        <v>263</v>
      </c>
      <c r="I148" t="s">
        <v>18</v>
      </c>
      <c r="J148">
        <f>HOUR(Table2[[#This Row],[Charging_Start_Time]])</f>
        <v>17</v>
      </c>
    </row>
    <row r="149" spans="1:10" x14ac:dyDescent="0.3">
      <c r="A149" t="s">
        <v>173</v>
      </c>
      <c r="B149" t="s">
        <v>20</v>
      </c>
      <c r="C149" s="1">
        <v>45945</v>
      </c>
      <c r="D149" t="s">
        <v>15</v>
      </c>
      <c r="E149" s="3">
        <v>0.2722222222222222</v>
      </c>
      <c r="F149" s="4">
        <v>0.36458333333333331</v>
      </c>
      <c r="G149" s="2">
        <v>32.299999999999997</v>
      </c>
      <c r="H149" s="5">
        <v>323</v>
      </c>
      <c r="I149" t="s">
        <v>22</v>
      </c>
      <c r="J149">
        <f>HOUR(Table2[[#This Row],[Charging_Start_Time]])</f>
        <v>6</v>
      </c>
    </row>
    <row r="150" spans="1:10" x14ac:dyDescent="0.3">
      <c r="A150" t="s">
        <v>174</v>
      </c>
      <c r="B150" t="s">
        <v>20</v>
      </c>
      <c r="C150" s="1">
        <v>45945</v>
      </c>
      <c r="D150" t="s">
        <v>11</v>
      </c>
      <c r="E150" s="3">
        <v>0.6381944444444444</v>
      </c>
      <c r="F150" s="4">
        <v>0.72222222222222221</v>
      </c>
      <c r="G150" s="2">
        <v>31.4</v>
      </c>
      <c r="H150" s="5">
        <v>314</v>
      </c>
      <c r="I150" t="s">
        <v>18</v>
      </c>
      <c r="J150">
        <f>HOUR(Table2[[#This Row],[Charging_Start_Time]])</f>
        <v>15</v>
      </c>
    </row>
    <row r="151" spans="1:10" x14ac:dyDescent="0.3">
      <c r="A151" t="s">
        <v>175</v>
      </c>
      <c r="B151" t="s">
        <v>17</v>
      </c>
      <c r="C151" s="1">
        <v>45945</v>
      </c>
      <c r="D151" t="s">
        <v>15</v>
      </c>
      <c r="E151" s="3">
        <v>0.82916666666666672</v>
      </c>
      <c r="F151" s="4">
        <v>0.8930555555555556</v>
      </c>
      <c r="G151" s="2">
        <v>29.9</v>
      </c>
      <c r="H151" s="5">
        <v>299</v>
      </c>
      <c r="I151" t="s">
        <v>22</v>
      </c>
      <c r="J151">
        <f>HOUR(Table2[[#This Row],[Charging_Start_Time]])</f>
        <v>19</v>
      </c>
    </row>
    <row r="152" spans="1:10" x14ac:dyDescent="0.3">
      <c r="A152" t="s">
        <v>176</v>
      </c>
      <c r="B152" t="s">
        <v>20</v>
      </c>
      <c r="C152" s="1">
        <v>45945</v>
      </c>
      <c r="D152" t="s">
        <v>24</v>
      </c>
      <c r="E152" s="3">
        <v>0.27986111111111112</v>
      </c>
      <c r="F152" s="4">
        <v>0.3298611111111111</v>
      </c>
      <c r="G152" s="2">
        <v>56.6</v>
      </c>
      <c r="H152" s="5">
        <v>566</v>
      </c>
      <c r="I152" t="s">
        <v>22</v>
      </c>
      <c r="J152">
        <f>HOUR(Table2[[#This Row],[Charging_Start_Time]])</f>
        <v>6</v>
      </c>
    </row>
    <row r="153" spans="1:10" x14ac:dyDescent="0.3">
      <c r="A153" t="s">
        <v>177</v>
      </c>
      <c r="B153" t="s">
        <v>40</v>
      </c>
      <c r="C153" s="1">
        <v>45945</v>
      </c>
      <c r="D153" t="s">
        <v>15</v>
      </c>
      <c r="E153" s="3">
        <v>0.79583333333333328</v>
      </c>
      <c r="F153" s="4">
        <v>0.87361111111111112</v>
      </c>
      <c r="G153" s="2">
        <v>54.1</v>
      </c>
      <c r="H153" s="5">
        <v>541</v>
      </c>
      <c r="I153" t="s">
        <v>22</v>
      </c>
      <c r="J153">
        <f>HOUR(Table2[[#This Row],[Charging_Start_Time]])</f>
        <v>19</v>
      </c>
    </row>
    <row r="154" spans="1:10" x14ac:dyDescent="0.3">
      <c r="A154" t="s">
        <v>178</v>
      </c>
      <c r="B154" t="s">
        <v>33</v>
      </c>
      <c r="C154" s="1">
        <v>45945</v>
      </c>
      <c r="D154" t="s">
        <v>15</v>
      </c>
      <c r="E154" s="3">
        <v>0.28541666666666665</v>
      </c>
      <c r="F154" s="4">
        <v>0.36944444444444446</v>
      </c>
      <c r="G154" s="2">
        <v>53.2</v>
      </c>
      <c r="H154" s="5">
        <v>532</v>
      </c>
      <c r="I154" t="s">
        <v>12</v>
      </c>
      <c r="J154">
        <f>HOUR(Table2[[#This Row],[Charging_Start_Time]])</f>
        <v>6</v>
      </c>
    </row>
    <row r="155" spans="1:10" x14ac:dyDescent="0.3">
      <c r="A155" t="s">
        <v>179</v>
      </c>
      <c r="B155" t="s">
        <v>14</v>
      </c>
      <c r="C155" s="1">
        <v>45945</v>
      </c>
      <c r="D155" t="s">
        <v>28</v>
      </c>
      <c r="E155" s="3">
        <v>0.66041666666666665</v>
      </c>
      <c r="F155" s="4">
        <v>0.72152777777777777</v>
      </c>
      <c r="G155" s="2">
        <v>51.6</v>
      </c>
      <c r="H155" s="5">
        <v>516</v>
      </c>
      <c r="I155" t="s">
        <v>18</v>
      </c>
      <c r="J155">
        <f>HOUR(Table2[[#This Row],[Charging_Start_Time]])</f>
        <v>15</v>
      </c>
    </row>
    <row r="156" spans="1:10" x14ac:dyDescent="0.3">
      <c r="A156" t="s">
        <v>180</v>
      </c>
      <c r="B156" t="s">
        <v>20</v>
      </c>
      <c r="C156" s="1">
        <v>45945</v>
      </c>
      <c r="D156" t="s">
        <v>11</v>
      </c>
      <c r="E156" s="3">
        <v>0.65902777777777777</v>
      </c>
      <c r="F156" s="4">
        <v>0.76875000000000004</v>
      </c>
      <c r="G156" s="2">
        <v>11.3</v>
      </c>
      <c r="H156" s="5">
        <v>113</v>
      </c>
      <c r="I156" t="s">
        <v>18</v>
      </c>
      <c r="J156">
        <f>HOUR(Table2[[#This Row],[Charging_Start_Time]])</f>
        <v>15</v>
      </c>
    </row>
    <row r="157" spans="1:10" x14ac:dyDescent="0.3">
      <c r="A157" t="s">
        <v>181</v>
      </c>
      <c r="B157" t="s">
        <v>33</v>
      </c>
      <c r="C157" s="1">
        <v>45945</v>
      </c>
      <c r="D157" t="s">
        <v>24</v>
      </c>
      <c r="E157" s="3">
        <v>0.33750000000000002</v>
      </c>
      <c r="F157" s="4">
        <v>0.3659722222222222</v>
      </c>
      <c r="G157" s="2">
        <v>71.5</v>
      </c>
      <c r="H157" s="5">
        <v>715</v>
      </c>
      <c r="I157" t="s">
        <v>18</v>
      </c>
      <c r="J157">
        <f>HOUR(Table2[[#This Row],[Charging_Start_Time]])</f>
        <v>8</v>
      </c>
    </row>
    <row r="158" spans="1:10" x14ac:dyDescent="0.3">
      <c r="A158" t="s">
        <v>182</v>
      </c>
      <c r="B158" t="s">
        <v>26</v>
      </c>
      <c r="C158" s="1">
        <v>45945</v>
      </c>
      <c r="D158" t="s">
        <v>11</v>
      </c>
      <c r="E158" s="3">
        <v>0.78819444444444442</v>
      </c>
      <c r="F158" s="4">
        <v>0.8569444444444444</v>
      </c>
      <c r="G158" s="2">
        <v>31.4</v>
      </c>
      <c r="H158" s="5">
        <v>314</v>
      </c>
      <c r="I158" t="s">
        <v>18</v>
      </c>
      <c r="J158">
        <f>HOUR(Table2[[#This Row],[Charging_Start_Time]])</f>
        <v>18</v>
      </c>
    </row>
    <row r="159" spans="1:10" x14ac:dyDescent="0.3">
      <c r="A159" t="s">
        <v>183</v>
      </c>
      <c r="B159" t="s">
        <v>30</v>
      </c>
      <c r="C159" s="1">
        <v>45945</v>
      </c>
      <c r="D159" t="s">
        <v>28</v>
      </c>
      <c r="E159" s="3">
        <v>0.6791666666666667</v>
      </c>
      <c r="F159" s="4">
        <v>0.78819444444444442</v>
      </c>
      <c r="G159" s="2">
        <v>54.2</v>
      </c>
      <c r="H159" s="5">
        <v>542</v>
      </c>
      <c r="I159" t="s">
        <v>12</v>
      </c>
      <c r="J159">
        <f>HOUR(Table2[[#This Row],[Charging_Start_Time]])</f>
        <v>16</v>
      </c>
    </row>
    <row r="160" spans="1:10" x14ac:dyDescent="0.3">
      <c r="A160" t="s">
        <v>184</v>
      </c>
      <c r="B160" t="s">
        <v>20</v>
      </c>
      <c r="C160" s="1">
        <v>45945</v>
      </c>
      <c r="D160" t="s">
        <v>24</v>
      </c>
      <c r="E160" s="3">
        <v>0.42222222222222222</v>
      </c>
      <c r="F160" s="4">
        <v>0.53194444444444444</v>
      </c>
      <c r="G160" s="2">
        <v>26.1</v>
      </c>
      <c r="H160" s="5">
        <v>261</v>
      </c>
      <c r="I160" t="s">
        <v>12</v>
      </c>
      <c r="J160">
        <f>HOUR(Table2[[#This Row],[Charging_Start_Time]])</f>
        <v>10</v>
      </c>
    </row>
    <row r="161" spans="1:10" x14ac:dyDescent="0.3">
      <c r="A161" t="s">
        <v>185</v>
      </c>
      <c r="B161" t="s">
        <v>37</v>
      </c>
      <c r="C161" s="1">
        <v>45945</v>
      </c>
      <c r="D161" t="s">
        <v>15</v>
      </c>
      <c r="E161" s="3">
        <v>0.62222222222222223</v>
      </c>
      <c r="F161" s="4">
        <v>0.70277777777777772</v>
      </c>
      <c r="G161" s="2">
        <v>9.3000000000000007</v>
      </c>
      <c r="H161" s="5">
        <v>93</v>
      </c>
      <c r="I161" t="s">
        <v>12</v>
      </c>
      <c r="J161">
        <f>HOUR(Table2[[#This Row],[Charging_Start_Time]])</f>
        <v>14</v>
      </c>
    </row>
    <row r="162" spans="1:10" x14ac:dyDescent="0.3">
      <c r="A162" t="s">
        <v>186</v>
      </c>
      <c r="B162" t="s">
        <v>26</v>
      </c>
      <c r="C162" s="1">
        <v>45945</v>
      </c>
      <c r="D162" t="s">
        <v>28</v>
      </c>
      <c r="E162" s="3">
        <v>0.4826388888888889</v>
      </c>
      <c r="F162" s="4">
        <v>0.56458333333333333</v>
      </c>
      <c r="G162" s="2">
        <v>45.3</v>
      </c>
      <c r="H162" s="5">
        <v>453</v>
      </c>
      <c r="I162" t="s">
        <v>18</v>
      </c>
      <c r="J162">
        <f>HOUR(Table2[[#This Row],[Charging_Start_Time]])</f>
        <v>11</v>
      </c>
    </row>
    <row r="163" spans="1:10" x14ac:dyDescent="0.3">
      <c r="A163" t="s">
        <v>187</v>
      </c>
      <c r="B163" t="s">
        <v>20</v>
      </c>
      <c r="C163" s="1">
        <v>45945</v>
      </c>
      <c r="D163" t="s">
        <v>11</v>
      </c>
      <c r="E163" s="3">
        <v>0.7993055555555556</v>
      </c>
      <c r="F163" s="4">
        <v>0.89930555555555558</v>
      </c>
      <c r="G163" s="2">
        <v>9.4</v>
      </c>
      <c r="H163" s="5">
        <v>94</v>
      </c>
      <c r="I163" t="s">
        <v>22</v>
      </c>
      <c r="J163">
        <f>HOUR(Table2[[#This Row],[Charging_Start_Time]])</f>
        <v>19</v>
      </c>
    </row>
    <row r="164" spans="1:10" x14ac:dyDescent="0.3">
      <c r="A164" t="s">
        <v>188</v>
      </c>
      <c r="B164" t="s">
        <v>52</v>
      </c>
      <c r="C164" s="1">
        <v>45945</v>
      </c>
      <c r="D164" t="s">
        <v>11</v>
      </c>
      <c r="E164" s="3">
        <v>0.38333333333333336</v>
      </c>
      <c r="F164" s="4">
        <v>0.42986111111111114</v>
      </c>
      <c r="G164" s="2">
        <v>67.7</v>
      </c>
      <c r="H164" s="5">
        <v>677</v>
      </c>
      <c r="I164" t="s">
        <v>18</v>
      </c>
      <c r="J164">
        <f>HOUR(Table2[[#This Row],[Charging_Start_Time]])</f>
        <v>9</v>
      </c>
    </row>
    <row r="165" spans="1:10" x14ac:dyDescent="0.3">
      <c r="A165" t="s">
        <v>189</v>
      </c>
      <c r="B165" t="s">
        <v>20</v>
      </c>
      <c r="C165" s="1">
        <v>45945</v>
      </c>
      <c r="D165" t="s">
        <v>24</v>
      </c>
      <c r="E165" s="3">
        <v>0.74930555555555556</v>
      </c>
      <c r="F165" s="4">
        <v>0.77152777777777781</v>
      </c>
      <c r="G165" s="2">
        <v>64.3</v>
      </c>
      <c r="H165" s="5">
        <v>643</v>
      </c>
      <c r="I165" t="s">
        <v>12</v>
      </c>
      <c r="J165">
        <f>HOUR(Table2[[#This Row],[Charging_Start_Time]])</f>
        <v>17</v>
      </c>
    </row>
    <row r="166" spans="1:10" x14ac:dyDescent="0.3">
      <c r="A166" t="s">
        <v>190</v>
      </c>
      <c r="B166" t="s">
        <v>33</v>
      </c>
      <c r="C166" s="1">
        <v>45945</v>
      </c>
      <c r="D166" t="s">
        <v>28</v>
      </c>
      <c r="E166" s="3">
        <v>0.82777777777777772</v>
      </c>
      <c r="F166" s="4">
        <v>0.90138888888888891</v>
      </c>
      <c r="G166" s="2">
        <v>8.3000000000000007</v>
      </c>
      <c r="H166" s="5">
        <v>83</v>
      </c>
      <c r="I166" t="s">
        <v>12</v>
      </c>
      <c r="J166">
        <f>HOUR(Table2[[#This Row],[Charging_Start_Time]])</f>
        <v>19</v>
      </c>
    </row>
    <row r="167" spans="1:10" x14ac:dyDescent="0.3">
      <c r="A167" t="s">
        <v>191</v>
      </c>
      <c r="B167" t="s">
        <v>52</v>
      </c>
      <c r="C167" s="1">
        <v>45945</v>
      </c>
      <c r="D167" t="s">
        <v>15</v>
      </c>
      <c r="E167" s="3">
        <v>0.35069444444444442</v>
      </c>
      <c r="F167" s="4">
        <v>0.4201388888888889</v>
      </c>
      <c r="G167" s="2">
        <v>33.1</v>
      </c>
      <c r="H167" s="5">
        <v>331</v>
      </c>
      <c r="I167" t="s">
        <v>22</v>
      </c>
      <c r="J167">
        <f>HOUR(Table2[[#This Row],[Charging_Start_Time]])</f>
        <v>8</v>
      </c>
    </row>
    <row r="168" spans="1:10" x14ac:dyDescent="0.3">
      <c r="A168" t="s">
        <v>192</v>
      </c>
      <c r="B168" t="s">
        <v>40</v>
      </c>
      <c r="C168" s="1">
        <v>45945</v>
      </c>
      <c r="D168" t="s">
        <v>28</v>
      </c>
      <c r="E168" s="3">
        <v>0.49861111111111112</v>
      </c>
      <c r="F168" s="4">
        <v>0.59305555555555556</v>
      </c>
      <c r="G168" s="2">
        <v>3.3</v>
      </c>
      <c r="H168" s="5">
        <v>33</v>
      </c>
      <c r="I168" t="s">
        <v>18</v>
      </c>
      <c r="J168">
        <f>HOUR(Table2[[#This Row],[Charging_Start_Time]])</f>
        <v>11</v>
      </c>
    </row>
    <row r="169" spans="1:10" x14ac:dyDescent="0.3">
      <c r="A169" t="s">
        <v>193</v>
      </c>
      <c r="B169" t="s">
        <v>10</v>
      </c>
      <c r="C169" s="1">
        <v>45945</v>
      </c>
      <c r="D169" t="s">
        <v>11</v>
      </c>
      <c r="E169" s="3">
        <v>0.56805555555555554</v>
      </c>
      <c r="F169" s="4">
        <v>0.64652777777777781</v>
      </c>
      <c r="G169" s="2">
        <v>78.5</v>
      </c>
      <c r="H169" s="5">
        <v>785</v>
      </c>
      <c r="I169" t="s">
        <v>18</v>
      </c>
      <c r="J169">
        <f>HOUR(Table2[[#This Row],[Charging_Start_Time]])</f>
        <v>13</v>
      </c>
    </row>
    <row r="170" spans="1:10" x14ac:dyDescent="0.3">
      <c r="A170" t="s">
        <v>194</v>
      </c>
      <c r="B170" t="s">
        <v>37</v>
      </c>
      <c r="C170" s="1">
        <v>45945</v>
      </c>
      <c r="D170" t="s">
        <v>24</v>
      </c>
      <c r="E170" s="3">
        <v>0.67500000000000004</v>
      </c>
      <c r="F170" s="4">
        <v>0.69930555555555551</v>
      </c>
      <c r="G170" s="2">
        <v>25.6</v>
      </c>
      <c r="H170" s="5">
        <v>256</v>
      </c>
      <c r="I170" t="s">
        <v>18</v>
      </c>
      <c r="J170">
        <f>HOUR(Table2[[#This Row],[Charging_Start_Time]])</f>
        <v>16</v>
      </c>
    </row>
    <row r="171" spans="1:10" x14ac:dyDescent="0.3">
      <c r="A171" t="s">
        <v>195</v>
      </c>
      <c r="B171" t="s">
        <v>26</v>
      </c>
      <c r="C171" s="1">
        <v>45945</v>
      </c>
      <c r="D171" t="s">
        <v>15</v>
      </c>
      <c r="E171" s="3">
        <v>0.26944444444444443</v>
      </c>
      <c r="F171" s="4">
        <v>0.32500000000000001</v>
      </c>
      <c r="G171" s="2">
        <v>11.1</v>
      </c>
      <c r="H171" s="5">
        <v>111</v>
      </c>
      <c r="I171" t="s">
        <v>12</v>
      </c>
      <c r="J171">
        <f>HOUR(Table2[[#This Row],[Charging_Start_Time]])</f>
        <v>6</v>
      </c>
    </row>
    <row r="172" spans="1:10" x14ac:dyDescent="0.3">
      <c r="A172" t="s">
        <v>196</v>
      </c>
      <c r="B172" t="s">
        <v>20</v>
      </c>
      <c r="C172" s="1">
        <v>45945</v>
      </c>
      <c r="D172" t="s">
        <v>28</v>
      </c>
      <c r="E172" s="3">
        <v>0.59305555555555556</v>
      </c>
      <c r="F172" s="4">
        <v>0.70694444444444449</v>
      </c>
      <c r="G172" s="2">
        <v>88.8</v>
      </c>
      <c r="H172" s="5">
        <v>888</v>
      </c>
      <c r="I172" t="s">
        <v>12</v>
      </c>
      <c r="J172">
        <f>HOUR(Table2[[#This Row],[Charging_Start_Time]])</f>
        <v>14</v>
      </c>
    </row>
    <row r="173" spans="1:10" x14ac:dyDescent="0.3">
      <c r="A173" t="s">
        <v>197</v>
      </c>
      <c r="B173" t="s">
        <v>30</v>
      </c>
      <c r="C173" s="1">
        <v>45945</v>
      </c>
      <c r="D173" t="s">
        <v>11</v>
      </c>
      <c r="E173" s="3">
        <v>0.57986111111111116</v>
      </c>
      <c r="F173" s="4">
        <v>0.63055555555555554</v>
      </c>
      <c r="G173" s="2">
        <v>10.4</v>
      </c>
      <c r="H173" s="5">
        <v>104</v>
      </c>
      <c r="I173" t="s">
        <v>18</v>
      </c>
      <c r="J173">
        <f>HOUR(Table2[[#This Row],[Charging_Start_Time]])</f>
        <v>13</v>
      </c>
    </row>
    <row r="174" spans="1:10" x14ac:dyDescent="0.3">
      <c r="A174" t="s">
        <v>198</v>
      </c>
      <c r="B174" t="s">
        <v>40</v>
      </c>
      <c r="C174" s="1">
        <v>45945</v>
      </c>
      <c r="D174" t="s">
        <v>11</v>
      </c>
      <c r="E174" s="3">
        <v>0.45902777777777776</v>
      </c>
      <c r="F174" s="4">
        <v>0.52638888888888891</v>
      </c>
      <c r="G174" s="2">
        <v>74.400000000000006</v>
      </c>
      <c r="H174" s="5">
        <v>744</v>
      </c>
      <c r="I174" t="s">
        <v>12</v>
      </c>
      <c r="J174">
        <f>HOUR(Table2[[#This Row],[Charging_Start_Time]])</f>
        <v>11</v>
      </c>
    </row>
    <row r="175" spans="1:10" x14ac:dyDescent="0.3">
      <c r="A175" t="s">
        <v>199</v>
      </c>
      <c r="B175" t="s">
        <v>26</v>
      </c>
      <c r="C175" s="1">
        <v>45945</v>
      </c>
      <c r="D175" t="s">
        <v>11</v>
      </c>
      <c r="E175" s="3">
        <v>0.41944444444444445</v>
      </c>
      <c r="F175" s="4">
        <v>0.52013888888888893</v>
      </c>
      <c r="G175" s="2">
        <v>75.3</v>
      </c>
      <c r="H175" s="5">
        <v>753</v>
      </c>
      <c r="I175" t="s">
        <v>12</v>
      </c>
      <c r="J175">
        <f>HOUR(Table2[[#This Row],[Charging_Start_Time]])</f>
        <v>10</v>
      </c>
    </row>
    <row r="176" spans="1:10" x14ac:dyDescent="0.3">
      <c r="A176" t="s">
        <v>200</v>
      </c>
      <c r="B176" t="s">
        <v>26</v>
      </c>
      <c r="C176" s="1">
        <v>45945</v>
      </c>
      <c r="D176" t="s">
        <v>15</v>
      </c>
      <c r="E176" s="3">
        <v>0.83125000000000004</v>
      </c>
      <c r="F176" s="4">
        <v>0.93125000000000002</v>
      </c>
      <c r="G176" s="2">
        <v>97.4</v>
      </c>
      <c r="H176" s="5">
        <v>974</v>
      </c>
      <c r="I176" t="s">
        <v>18</v>
      </c>
      <c r="J176">
        <f>HOUR(Table2[[#This Row],[Charging_Start_Time]])</f>
        <v>19</v>
      </c>
    </row>
    <row r="177" spans="1:10" x14ac:dyDescent="0.3">
      <c r="A177" t="s">
        <v>201</v>
      </c>
      <c r="B177" t="s">
        <v>40</v>
      </c>
      <c r="C177" s="1">
        <v>45945</v>
      </c>
      <c r="D177" t="s">
        <v>11</v>
      </c>
      <c r="E177" s="3">
        <v>0.71805555555555556</v>
      </c>
      <c r="F177" s="4">
        <v>0.75694444444444442</v>
      </c>
      <c r="G177" s="2">
        <v>29.2</v>
      </c>
      <c r="H177" s="5">
        <v>292</v>
      </c>
      <c r="I177" t="s">
        <v>12</v>
      </c>
      <c r="J177">
        <f>HOUR(Table2[[#This Row],[Charging_Start_Time]])</f>
        <v>17</v>
      </c>
    </row>
    <row r="178" spans="1:10" x14ac:dyDescent="0.3">
      <c r="A178" t="s">
        <v>202</v>
      </c>
      <c r="B178" t="s">
        <v>30</v>
      </c>
      <c r="C178" s="1">
        <v>45945</v>
      </c>
      <c r="D178" t="s">
        <v>28</v>
      </c>
      <c r="E178" s="3">
        <v>0.40486111111111112</v>
      </c>
      <c r="F178" s="4">
        <v>0.46180555555555558</v>
      </c>
      <c r="G178" s="2">
        <v>90.5</v>
      </c>
      <c r="H178" s="5">
        <v>905</v>
      </c>
      <c r="I178" t="s">
        <v>12</v>
      </c>
      <c r="J178">
        <f>HOUR(Table2[[#This Row],[Charging_Start_Time]])</f>
        <v>9</v>
      </c>
    </row>
    <row r="179" spans="1:10" x14ac:dyDescent="0.3">
      <c r="A179" t="s">
        <v>203</v>
      </c>
      <c r="B179" t="s">
        <v>37</v>
      </c>
      <c r="C179" s="1">
        <v>45945</v>
      </c>
      <c r="D179" t="s">
        <v>11</v>
      </c>
      <c r="E179" s="3">
        <v>0.83750000000000002</v>
      </c>
      <c r="F179" s="4">
        <v>0.91527777777777775</v>
      </c>
      <c r="G179" s="2">
        <v>27.3</v>
      </c>
      <c r="H179" s="5">
        <v>273</v>
      </c>
      <c r="I179" t="s">
        <v>18</v>
      </c>
      <c r="J179">
        <f>HOUR(Table2[[#This Row],[Charging_Start_Time]])</f>
        <v>20</v>
      </c>
    </row>
    <row r="180" spans="1:10" x14ac:dyDescent="0.3">
      <c r="A180" t="s">
        <v>204</v>
      </c>
      <c r="B180" t="s">
        <v>10</v>
      </c>
      <c r="C180" s="1">
        <v>45945</v>
      </c>
      <c r="D180" t="s">
        <v>24</v>
      </c>
      <c r="E180" s="3">
        <v>0.45208333333333334</v>
      </c>
      <c r="F180" s="4">
        <v>0.49375000000000002</v>
      </c>
      <c r="G180" s="2">
        <v>51.6</v>
      </c>
      <c r="H180" s="5">
        <v>516</v>
      </c>
      <c r="I180" t="s">
        <v>22</v>
      </c>
      <c r="J180">
        <f>HOUR(Table2[[#This Row],[Charging_Start_Time]])</f>
        <v>10</v>
      </c>
    </row>
    <row r="181" spans="1:10" x14ac:dyDescent="0.3">
      <c r="A181" t="s">
        <v>205</v>
      </c>
      <c r="B181" t="s">
        <v>26</v>
      </c>
      <c r="C181" s="1">
        <v>45945</v>
      </c>
      <c r="D181" t="s">
        <v>28</v>
      </c>
      <c r="E181" s="3">
        <v>0.61805555555555558</v>
      </c>
      <c r="F181" s="4">
        <v>0.64722222222222225</v>
      </c>
      <c r="G181" s="2">
        <v>22.3</v>
      </c>
      <c r="H181" s="5">
        <v>223</v>
      </c>
      <c r="I181" t="s">
        <v>22</v>
      </c>
      <c r="J181">
        <f>HOUR(Table2[[#This Row],[Charging_Start_Time]])</f>
        <v>14</v>
      </c>
    </row>
    <row r="182" spans="1:10" x14ac:dyDescent="0.3">
      <c r="A182" t="s">
        <v>206</v>
      </c>
      <c r="B182" t="s">
        <v>52</v>
      </c>
      <c r="C182" s="1">
        <v>45945</v>
      </c>
      <c r="D182" t="s">
        <v>11</v>
      </c>
      <c r="E182" s="3">
        <v>0.30069444444444443</v>
      </c>
      <c r="F182" s="4">
        <v>0.40902777777777777</v>
      </c>
      <c r="G182" s="2">
        <v>73.5</v>
      </c>
      <c r="H182" s="5">
        <v>735</v>
      </c>
      <c r="I182" t="s">
        <v>18</v>
      </c>
      <c r="J182">
        <f>HOUR(Table2[[#This Row],[Charging_Start_Time]])</f>
        <v>7</v>
      </c>
    </row>
    <row r="183" spans="1:10" x14ac:dyDescent="0.3">
      <c r="A183" t="s">
        <v>207</v>
      </c>
      <c r="B183" t="s">
        <v>37</v>
      </c>
      <c r="C183" s="1">
        <v>45945</v>
      </c>
      <c r="D183" t="s">
        <v>15</v>
      </c>
      <c r="E183" s="3">
        <v>0.73402777777777772</v>
      </c>
      <c r="F183" s="4">
        <v>0.76875000000000004</v>
      </c>
      <c r="G183" s="2">
        <v>31.9</v>
      </c>
      <c r="H183" s="5">
        <v>319</v>
      </c>
      <c r="I183" t="s">
        <v>22</v>
      </c>
      <c r="J183">
        <f>HOUR(Table2[[#This Row],[Charging_Start_Time]])</f>
        <v>17</v>
      </c>
    </row>
    <row r="184" spans="1:10" x14ac:dyDescent="0.3">
      <c r="A184" t="s">
        <v>208</v>
      </c>
      <c r="B184" t="s">
        <v>33</v>
      </c>
      <c r="C184" s="1">
        <v>45945</v>
      </c>
      <c r="D184" t="s">
        <v>24</v>
      </c>
      <c r="E184" s="3">
        <v>0.74930555555555556</v>
      </c>
      <c r="F184" s="4">
        <v>0.77638888888888891</v>
      </c>
      <c r="G184" s="2">
        <v>56.7</v>
      </c>
      <c r="H184" s="5">
        <v>567</v>
      </c>
      <c r="I184" t="s">
        <v>18</v>
      </c>
      <c r="J184">
        <f>HOUR(Table2[[#This Row],[Charging_Start_Time]])</f>
        <v>17</v>
      </c>
    </row>
    <row r="185" spans="1:10" x14ac:dyDescent="0.3">
      <c r="A185" t="s">
        <v>209</v>
      </c>
      <c r="B185" t="s">
        <v>17</v>
      </c>
      <c r="C185" s="1">
        <v>45945</v>
      </c>
      <c r="D185" t="s">
        <v>11</v>
      </c>
      <c r="E185" s="3">
        <v>0.58819444444444446</v>
      </c>
      <c r="F185" s="4">
        <v>0.61388888888888893</v>
      </c>
      <c r="G185" s="2">
        <v>7.1</v>
      </c>
      <c r="H185" s="5">
        <v>71</v>
      </c>
      <c r="I185" t="s">
        <v>12</v>
      </c>
      <c r="J185">
        <f>HOUR(Table2[[#This Row],[Charging_Start_Time]])</f>
        <v>14</v>
      </c>
    </row>
    <row r="186" spans="1:10" x14ac:dyDescent="0.3">
      <c r="A186" t="s">
        <v>210</v>
      </c>
      <c r="B186" t="s">
        <v>26</v>
      </c>
      <c r="C186" s="1">
        <v>45945</v>
      </c>
      <c r="D186" t="s">
        <v>24</v>
      </c>
      <c r="E186" s="3">
        <v>0.59236111111111112</v>
      </c>
      <c r="F186" s="4">
        <v>0.71458333333333335</v>
      </c>
      <c r="G186" s="2">
        <v>79.5</v>
      </c>
      <c r="H186" s="5">
        <v>795</v>
      </c>
      <c r="I186" t="s">
        <v>22</v>
      </c>
      <c r="J186">
        <f>HOUR(Table2[[#This Row],[Charging_Start_Time]])</f>
        <v>14</v>
      </c>
    </row>
    <row r="187" spans="1:10" x14ac:dyDescent="0.3">
      <c r="A187" t="s">
        <v>211</v>
      </c>
      <c r="B187" t="s">
        <v>20</v>
      </c>
      <c r="C187" s="1">
        <v>45945</v>
      </c>
      <c r="D187" t="s">
        <v>11</v>
      </c>
      <c r="E187" s="3">
        <v>0.60277777777777775</v>
      </c>
      <c r="F187" s="4">
        <v>0.68055555555555558</v>
      </c>
      <c r="G187" s="2">
        <v>47.2</v>
      </c>
      <c r="H187" s="5">
        <v>472</v>
      </c>
      <c r="I187" t="s">
        <v>18</v>
      </c>
      <c r="J187">
        <f>HOUR(Table2[[#This Row],[Charging_Start_Time]])</f>
        <v>14</v>
      </c>
    </row>
    <row r="188" spans="1:10" x14ac:dyDescent="0.3">
      <c r="A188" t="s">
        <v>212</v>
      </c>
      <c r="B188" t="s">
        <v>17</v>
      </c>
      <c r="C188" s="1">
        <v>45945</v>
      </c>
      <c r="D188" t="s">
        <v>28</v>
      </c>
      <c r="E188" s="3">
        <v>0.86319444444444449</v>
      </c>
      <c r="F188" s="4">
        <v>0.90763888888888888</v>
      </c>
      <c r="G188" s="2">
        <v>10.5</v>
      </c>
      <c r="H188" s="5">
        <v>105</v>
      </c>
      <c r="I188" t="s">
        <v>12</v>
      </c>
      <c r="J188">
        <f>HOUR(Table2[[#This Row],[Charging_Start_Time]])</f>
        <v>20</v>
      </c>
    </row>
    <row r="189" spans="1:10" x14ac:dyDescent="0.3">
      <c r="A189" t="s">
        <v>213</v>
      </c>
      <c r="B189" t="s">
        <v>37</v>
      </c>
      <c r="C189" s="1">
        <v>45945</v>
      </c>
      <c r="D189" t="s">
        <v>15</v>
      </c>
      <c r="E189" s="3">
        <v>0.56319444444444444</v>
      </c>
      <c r="F189" s="4">
        <v>0.65972222222222221</v>
      </c>
      <c r="G189" s="2">
        <v>13.8</v>
      </c>
      <c r="H189" s="5">
        <v>138</v>
      </c>
      <c r="I189" t="s">
        <v>12</v>
      </c>
      <c r="J189">
        <f>HOUR(Table2[[#This Row],[Charging_Start_Time]])</f>
        <v>13</v>
      </c>
    </row>
    <row r="190" spans="1:10" x14ac:dyDescent="0.3">
      <c r="A190" t="s">
        <v>214</v>
      </c>
      <c r="B190" t="s">
        <v>52</v>
      </c>
      <c r="C190" s="1">
        <v>45945</v>
      </c>
      <c r="D190" t="s">
        <v>11</v>
      </c>
      <c r="E190" s="3">
        <v>0.76944444444444449</v>
      </c>
      <c r="F190" s="4">
        <v>0.81388888888888888</v>
      </c>
      <c r="G190" s="2">
        <v>3.4</v>
      </c>
      <c r="H190" s="5">
        <v>34</v>
      </c>
      <c r="I190" t="s">
        <v>12</v>
      </c>
      <c r="J190">
        <f>HOUR(Table2[[#This Row],[Charging_Start_Time]])</f>
        <v>18</v>
      </c>
    </row>
    <row r="191" spans="1:10" x14ac:dyDescent="0.3">
      <c r="A191" t="s">
        <v>215</v>
      </c>
      <c r="B191" t="s">
        <v>33</v>
      </c>
      <c r="C191" s="1">
        <v>45945</v>
      </c>
      <c r="D191" t="s">
        <v>11</v>
      </c>
      <c r="E191" s="3">
        <v>0.62361111111111112</v>
      </c>
      <c r="F191" s="4">
        <v>0.67986111111111114</v>
      </c>
      <c r="G191" s="2">
        <v>40.6</v>
      </c>
      <c r="H191" s="5">
        <v>406</v>
      </c>
      <c r="I191" t="s">
        <v>22</v>
      </c>
      <c r="J191">
        <f>HOUR(Table2[[#This Row],[Charging_Start_Time]])</f>
        <v>14</v>
      </c>
    </row>
    <row r="192" spans="1:10" x14ac:dyDescent="0.3">
      <c r="A192" t="s">
        <v>216</v>
      </c>
      <c r="B192" t="s">
        <v>40</v>
      </c>
      <c r="C192" s="1">
        <v>45945</v>
      </c>
      <c r="D192" t="s">
        <v>11</v>
      </c>
      <c r="E192" s="3">
        <v>0.25763888888888886</v>
      </c>
      <c r="F192" s="4">
        <v>0.3347222222222222</v>
      </c>
      <c r="G192" s="2">
        <v>73.3</v>
      </c>
      <c r="H192" s="5">
        <v>733</v>
      </c>
      <c r="I192" t="s">
        <v>22</v>
      </c>
      <c r="J192">
        <f>HOUR(Table2[[#This Row],[Charging_Start_Time]])</f>
        <v>6</v>
      </c>
    </row>
    <row r="193" spans="1:10" x14ac:dyDescent="0.3">
      <c r="A193" t="s">
        <v>217</v>
      </c>
      <c r="B193" t="s">
        <v>26</v>
      </c>
      <c r="C193" s="1">
        <v>45945</v>
      </c>
      <c r="D193" t="s">
        <v>28</v>
      </c>
      <c r="E193" s="3">
        <v>0.84166666666666667</v>
      </c>
      <c r="F193" s="4">
        <v>0.92500000000000004</v>
      </c>
      <c r="G193" s="2">
        <v>23.9</v>
      </c>
      <c r="H193" s="5">
        <v>239</v>
      </c>
      <c r="I193" t="s">
        <v>12</v>
      </c>
      <c r="J193">
        <f>HOUR(Table2[[#This Row],[Charging_Start_Time]])</f>
        <v>20</v>
      </c>
    </row>
    <row r="194" spans="1:10" x14ac:dyDescent="0.3">
      <c r="A194" t="s">
        <v>218</v>
      </c>
      <c r="B194" t="s">
        <v>37</v>
      </c>
      <c r="C194" s="1">
        <v>45945</v>
      </c>
      <c r="D194" t="s">
        <v>15</v>
      </c>
      <c r="E194" s="3">
        <v>0.62638888888888888</v>
      </c>
      <c r="F194" s="4">
        <v>0.6791666666666667</v>
      </c>
      <c r="G194" s="2">
        <v>74.8</v>
      </c>
      <c r="H194" s="5">
        <v>748</v>
      </c>
      <c r="I194" t="s">
        <v>18</v>
      </c>
      <c r="J194">
        <f>HOUR(Table2[[#This Row],[Charging_Start_Time]])</f>
        <v>15</v>
      </c>
    </row>
    <row r="195" spans="1:10" x14ac:dyDescent="0.3">
      <c r="A195" t="s">
        <v>219</v>
      </c>
      <c r="B195" t="s">
        <v>17</v>
      </c>
      <c r="C195" s="1">
        <v>45945</v>
      </c>
      <c r="D195" t="s">
        <v>28</v>
      </c>
      <c r="E195" s="3">
        <v>0.71875</v>
      </c>
      <c r="F195" s="4">
        <v>0.75347222222222221</v>
      </c>
      <c r="G195" s="2">
        <v>76.400000000000006</v>
      </c>
      <c r="H195" s="5">
        <v>764</v>
      </c>
      <c r="I195" t="s">
        <v>12</v>
      </c>
      <c r="J195">
        <f>HOUR(Table2[[#This Row],[Charging_Start_Time]])</f>
        <v>17</v>
      </c>
    </row>
    <row r="196" spans="1:10" x14ac:dyDescent="0.3">
      <c r="A196" t="s">
        <v>220</v>
      </c>
      <c r="B196" t="s">
        <v>37</v>
      </c>
      <c r="C196" s="1">
        <v>45945</v>
      </c>
      <c r="D196" t="s">
        <v>28</v>
      </c>
      <c r="E196" s="3">
        <v>0.4513888888888889</v>
      </c>
      <c r="F196" s="4">
        <v>0.51388888888888884</v>
      </c>
      <c r="G196" s="2">
        <v>26.6</v>
      </c>
      <c r="H196" s="5">
        <v>266</v>
      </c>
      <c r="I196" t="s">
        <v>22</v>
      </c>
      <c r="J196">
        <f>HOUR(Table2[[#This Row],[Charging_Start_Time]])</f>
        <v>10</v>
      </c>
    </row>
    <row r="197" spans="1:10" x14ac:dyDescent="0.3">
      <c r="A197" t="s">
        <v>221</v>
      </c>
      <c r="B197" t="s">
        <v>14</v>
      </c>
      <c r="C197" s="1">
        <v>45945</v>
      </c>
      <c r="D197" t="s">
        <v>28</v>
      </c>
      <c r="E197" s="3">
        <v>0.31597222222222221</v>
      </c>
      <c r="F197" s="4">
        <v>0.43680555555555556</v>
      </c>
      <c r="G197" s="2">
        <v>80</v>
      </c>
      <c r="H197" s="5">
        <v>800</v>
      </c>
      <c r="I197" t="s">
        <v>12</v>
      </c>
      <c r="J197">
        <f>HOUR(Table2[[#This Row],[Charging_Start_Time]])</f>
        <v>7</v>
      </c>
    </row>
    <row r="198" spans="1:10" x14ac:dyDescent="0.3">
      <c r="A198" t="s">
        <v>222</v>
      </c>
      <c r="B198" t="s">
        <v>52</v>
      </c>
      <c r="C198" s="1">
        <v>45945</v>
      </c>
      <c r="D198" t="s">
        <v>28</v>
      </c>
      <c r="E198" s="3">
        <v>0.52847222222222223</v>
      </c>
      <c r="F198" s="4">
        <v>0.60069444444444442</v>
      </c>
      <c r="G198" s="2">
        <v>4</v>
      </c>
      <c r="H198" s="5">
        <v>40</v>
      </c>
      <c r="I198" t="s">
        <v>22</v>
      </c>
      <c r="J198">
        <f>HOUR(Table2[[#This Row],[Charging_Start_Time]])</f>
        <v>12</v>
      </c>
    </row>
    <row r="199" spans="1:10" x14ac:dyDescent="0.3">
      <c r="A199" t="s">
        <v>223</v>
      </c>
      <c r="B199" t="s">
        <v>26</v>
      </c>
      <c r="C199" s="1">
        <v>45945</v>
      </c>
      <c r="D199" t="s">
        <v>28</v>
      </c>
      <c r="E199" s="3">
        <v>0.73611111111111116</v>
      </c>
      <c r="F199" s="4">
        <v>0.77777777777777779</v>
      </c>
      <c r="G199" s="2">
        <v>11</v>
      </c>
      <c r="H199" s="5">
        <v>110</v>
      </c>
      <c r="I199" t="s">
        <v>12</v>
      </c>
      <c r="J199">
        <f>HOUR(Table2[[#This Row],[Charging_Start_Time]])</f>
        <v>17</v>
      </c>
    </row>
    <row r="200" spans="1:10" x14ac:dyDescent="0.3">
      <c r="A200" t="s">
        <v>224</v>
      </c>
      <c r="B200" t="s">
        <v>30</v>
      </c>
      <c r="C200" s="1">
        <v>45945</v>
      </c>
      <c r="D200" t="s">
        <v>24</v>
      </c>
      <c r="E200" s="3">
        <v>0.64722222222222225</v>
      </c>
      <c r="F200" s="4">
        <v>0.66805555555555551</v>
      </c>
      <c r="G200" s="2">
        <v>83.1</v>
      </c>
      <c r="H200" s="5">
        <v>831</v>
      </c>
      <c r="I200" t="s">
        <v>18</v>
      </c>
      <c r="J200">
        <f>HOUR(Table2[[#This Row],[Charging_Start_Time]])</f>
        <v>15</v>
      </c>
    </row>
    <row r="201" spans="1:10" x14ac:dyDescent="0.3">
      <c r="A201" t="s">
        <v>225</v>
      </c>
      <c r="B201" t="s">
        <v>37</v>
      </c>
      <c r="C201" s="1">
        <v>45945</v>
      </c>
      <c r="D201" t="s">
        <v>11</v>
      </c>
      <c r="E201" s="3">
        <v>0.75763888888888886</v>
      </c>
      <c r="F201" s="4">
        <v>0.80347222222222225</v>
      </c>
      <c r="G201" s="2">
        <v>63.2</v>
      </c>
      <c r="H201" s="5">
        <v>632</v>
      </c>
      <c r="I201" t="s">
        <v>12</v>
      </c>
      <c r="J201">
        <f>HOUR(Table2[[#This Row],[Charging_Start_Time]])</f>
        <v>18</v>
      </c>
    </row>
    <row r="202" spans="1:10" x14ac:dyDescent="0.3">
      <c r="A202" t="s">
        <v>226</v>
      </c>
      <c r="B202" t="s">
        <v>30</v>
      </c>
      <c r="C202" s="1">
        <v>45945</v>
      </c>
      <c r="D202" t="s">
        <v>28</v>
      </c>
      <c r="E202" s="3">
        <v>0.79583333333333328</v>
      </c>
      <c r="F202" s="4">
        <v>0.83888888888888891</v>
      </c>
      <c r="G202" s="2">
        <v>56.9</v>
      </c>
      <c r="H202" s="5">
        <v>569</v>
      </c>
      <c r="I202" t="s">
        <v>12</v>
      </c>
      <c r="J202">
        <f>HOUR(Table2[[#This Row],[Charging_Start_Time]])</f>
        <v>19</v>
      </c>
    </row>
    <row r="203" spans="1:10" x14ac:dyDescent="0.3">
      <c r="A203" t="s">
        <v>227</v>
      </c>
      <c r="B203" t="s">
        <v>17</v>
      </c>
      <c r="C203" s="1">
        <v>45945</v>
      </c>
      <c r="D203" t="s">
        <v>15</v>
      </c>
      <c r="E203" s="3">
        <v>0.38194444444444442</v>
      </c>
      <c r="F203" s="4">
        <v>0.44791666666666669</v>
      </c>
      <c r="G203" s="2">
        <v>97.1</v>
      </c>
      <c r="H203" s="5">
        <v>971</v>
      </c>
      <c r="I203" t="s">
        <v>12</v>
      </c>
      <c r="J203">
        <f>HOUR(Table2[[#This Row],[Charging_Start_Time]])</f>
        <v>9</v>
      </c>
    </row>
    <row r="204" spans="1:10" x14ac:dyDescent="0.3">
      <c r="A204" t="s">
        <v>228</v>
      </c>
      <c r="B204" t="s">
        <v>17</v>
      </c>
      <c r="C204" s="1">
        <v>45945</v>
      </c>
      <c r="D204" t="s">
        <v>28</v>
      </c>
      <c r="E204" s="3">
        <v>0.45416666666666666</v>
      </c>
      <c r="F204" s="4">
        <v>0.57916666666666672</v>
      </c>
      <c r="G204" s="2">
        <v>16.5</v>
      </c>
      <c r="H204" s="5">
        <v>165</v>
      </c>
      <c r="I204" t="s">
        <v>12</v>
      </c>
      <c r="J204">
        <f>HOUR(Table2[[#This Row],[Charging_Start_Time]])</f>
        <v>10</v>
      </c>
    </row>
    <row r="205" spans="1:10" x14ac:dyDescent="0.3">
      <c r="A205" t="s">
        <v>229</v>
      </c>
      <c r="B205" t="s">
        <v>33</v>
      </c>
      <c r="C205" s="1">
        <v>45945</v>
      </c>
      <c r="D205" t="s">
        <v>24</v>
      </c>
      <c r="E205" s="3">
        <v>0.47638888888888886</v>
      </c>
      <c r="F205" s="4">
        <v>0.58958333333333335</v>
      </c>
      <c r="G205" s="2">
        <v>5.0999999999999996</v>
      </c>
      <c r="H205" s="5">
        <v>51</v>
      </c>
      <c r="I205" t="s">
        <v>12</v>
      </c>
      <c r="J205">
        <f>HOUR(Table2[[#This Row],[Charging_Start_Time]])</f>
        <v>11</v>
      </c>
    </row>
    <row r="206" spans="1:10" x14ac:dyDescent="0.3">
      <c r="A206" t="s">
        <v>230</v>
      </c>
      <c r="B206" t="s">
        <v>30</v>
      </c>
      <c r="C206" s="1">
        <v>45945</v>
      </c>
      <c r="D206" t="s">
        <v>24</v>
      </c>
      <c r="E206" s="3">
        <v>0.36180555555555555</v>
      </c>
      <c r="F206" s="4">
        <v>0.38333333333333336</v>
      </c>
      <c r="G206" s="2">
        <v>48.2</v>
      </c>
      <c r="H206" s="5">
        <v>482</v>
      </c>
      <c r="I206" t="s">
        <v>22</v>
      </c>
      <c r="J206">
        <f>HOUR(Table2[[#This Row],[Charging_Start_Time]])</f>
        <v>8</v>
      </c>
    </row>
    <row r="207" spans="1:10" x14ac:dyDescent="0.3">
      <c r="A207" t="s">
        <v>231</v>
      </c>
      <c r="B207" t="s">
        <v>14</v>
      </c>
      <c r="C207" s="1">
        <v>45945</v>
      </c>
      <c r="D207" t="s">
        <v>15</v>
      </c>
      <c r="E207" s="3">
        <v>0.48402777777777778</v>
      </c>
      <c r="F207" s="4">
        <v>0.58333333333333337</v>
      </c>
      <c r="G207" s="2">
        <v>63.4</v>
      </c>
      <c r="H207" s="5">
        <v>634</v>
      </c>
      <c r="I207" t="s">
        <v>18</v>
      </c>
      <c r="J207">
        <f>HOUR(Table2[[#This Row],[Charging_Start_Time]])</f>
        <v>11</v>
      </c>
    </row>
    <row r="208" spans="1:10" x14ac:dyDescent="0.3">
      <c r="A208" t="s">
        <v>232</v>
      </c>
      <c r="B208" t="s">
        <v>30</v>
      </c>
      <c r="C208" s="1">
        <v>45945</v>
      </c>
      <c r="D208" t="s">
        <v>11</v>
      </c>
      <c r="E208" s="3">
        <v>0.49930555555555556</v>
      </c>
      <c r="F208" s="4">
        <v>0.53819444444444442</v>
      </c>
      <c r="G208" s="2">
        <v>57.3</v>
      </c>
      <c r="H208" s="5">
        <v>573</v>
      </c>
      <c r="I208" t="s">
        <v>22</v>
      </c>
      <c r="J208">
        <f>HOUR(Table2[[#This Row],[Charging_Start_Time]])</f>
        <v>11</v>
      </c>
    </row>
    <row r="209" spans="1:10" x14ac:dyDescent="0.3">
      <c r="A209" t="s">
        <v>233</v>
      </c>
      <c r="B209" t="s">
        <v>10</v>
      </c>
      <c r="C209" s="1">
        <v>45945</v>
      </c>
      <c r="D209" t="s">
        <v>24</v>
      </c>
      <c r="E209" s="3">
        <v>0.65555555555555556</v>
      </c>
      <c r="F209" s="4">
        <v>0.67777777777777781</v>
      </c>
      <c r="G209" s="2">
        <v>57.7</v>
      </c>
      <c r="H209" s="5">
        <v>577</v>
      </c>
      <c r="I209" t="s">
        <v>12</v>
      </c>
      <c r="J209">
        <f>HOUR(Table2[[#This Row],[Charging_Start_Time]])</f>
        <v>15</v>
      </c>
    </row>
    <row r="210" spans="1:10" x14ac:dyDescent="0.3">
      <c r="A210" t="s">
        <v>234</v>
      </c>
      <c r="B210" t="s">
        <v>17</v>
      </c>
      <c r="C210" s="1">
        <v>45945</v>
      </c>
      <c r="D210" t="s">
        <v>11</v>
      </c>
      <c r="E210" s="3">
        <v>0.40833333333333333</v>
      </c>
      <c r="F210" s="4">
        <v>0.48888888888888887</v>
      </c>
      <c r="G210" s="2">
        <v>97.4</v>
      </c>
      <c r="H210" s="5">
        <v>974</v>
      </c>
      <c r="I210" t="s">
        <v>22</v>
      </c>
      <c r="J210">
        <f>HOUR(Table2[[#This Row],[Charging_Start_Time]])</f>
        <v>9</v>
      </c>
    </row>
    <row r="211" spans="1:10" x14ac:dyDescent="0.3">
      <c r="A211" t="s">
        <v>235</v>
      </c>
      <c r="B211" t="s">
        <v>20</v>
      </c>
      <c r="C211" s="1">
        <v>45945</v>
      </c>
      <c r="D211" t="s">
        <v>11</v>
      </c>
      <c r="E211" s="3">
        <v>0.85972222222222228</v>
      </c>
      <c r="F211" s="4">
        <v>0.8881944444444444</v>
      </c>
      <c r="G211" s="2">
        <v>10</v>
      </c>
      <c r="H211" s="5">
        <v>100</v>
      </c>
      <c r="I211" t="s">
        <v>12</v>
      </c>
      <c r="J211">
        <f>HOUR(Table2[[#This Row],[Charging_Start_Time]])</f>
        <v>20</v>
      </c>
    </row>
    <row r="212" spans="1:10" x14ac:dyDescent="0.3">
      <c r="A212" t="s">
        <v>236</v>
      </c>
      <c r="B212" t="s">
        <v>52</v>
      </c>
      <c r="C212" s="1">
        <v>45945</v>
      </c>
      <c r="D212" t="s">
        <v>24</v>
      </c>
      <c r="E212" s="3">
        <v>0.75347222222222221</v>
      </c>
      <c r="F212" s="4">
        <v>0.83611111111111114</v>
      </c>
      <c r="G212" s="2">
        <v>97.2</v>
      </c>
      <c r="H212" s="5">
        <v>972</v>
      </c>
      <c r="I212" t="s">
        <v>18</v>
      </c>
      <c r="J212">
        <f>HOUR(Table2[[#This Row],[Charging_Start_Time]])</f>
        <v>18</v>
      </c>
    </row>
    <row r="213" spans="1:10" x14ac:dyDescent="0.3">
      <c r="A213" t="s">
        <v>237</v>
      </c>
      <c r="B213" t="s">
        <v>14</v>
      </c>
      <c r="C213" s="1">
        <v>45945</v>
      </c>
      <c r="D213" t="s">
        <v>15</v>
      </c>
      <c r="E213" s="3">
        <v>0.70625000000000004</v>
      </c>
      <c r="F213" s="4">
        <v>0.76388888888888884</v>
      </c>
      <c r="G213" s="2">
        <v>38.200000000000003</v>
      </c>
      <c r="H213" s="5">
        <v>382</v>
      </c>
      <c r="I213" t="s">
        <v>22</v>
      </c>
      <c r="J213">
        <f>HOUR(Table2[[#This Row],[Charging_Start_Time]])</f>
        <v>16</v>
      </c>
    </row>
    <row r="214" spans="1:10" x14ac:dyDescent="0.3">
      <c r="A214" t="s">
        <v>238</v>
      </c>
      <c r="B214" t="s">
        <v>10</v>
      </c>
      <c r="C214" s="1">
        <v>45945</v>
      </c>
      <c r="D214" t="s">
        <v>28</v>
      </c>
      <c r="E214" s="3">
        <v>0.7006944444444444</v>
      </c>
      <c r="F214" s="4">
        <v>0.72430555555555554</v>
      </c>
      <c r="G214" s="2">
        <v>65.3</v>
      </c>
      <c r="H214" s="5">
        <v>653</v>
      </c>
      <c r="I214" t="s">
        <v>22</v>
      </c>
      <c r="J214">
        <f>HOUR(Table2[[#This Row],[Charging_Start_Time]])</f>
        <v>16</v>
      </c>
    </row>
    <row r="215" spans="1:10" x14ac:dyDescent="0.3">
      <c r="A215" t="s">
        <v>239</v>
      </c>
      <c r="B215" t="s">
        <v>30</v>
      </c>
      <c r="C215" s="1">
        <v>45945</v>
      </c>
      <c r="D215" t="s">
        <v>15</v>
      </c>
      <c r="E215" s="3">
        <v>0.5180555555555556</v>
      </c>
      <c r="F215" s="4">
        <v>0.54791666666666672</v>
      </c>
      <c r="G215" s="2">
        <v>31.3</v>
      </c>
      <c r="H215" s="5">
        <v>313</v>
      </c>
      <c r="I215" t="s">
        <v>22</v>
      </c>
      <c r="J215">
        <f>HOUR(Table2[[#This Row],[Charging_Start_Time]])</f>
        <v>12</v>
      </c>
    </row>
    <row r="216" spans="1:10" x14ac:dyDescent="0.3">
      <c r="A216" t="s">
        <v>240</v>
      </c>
      <c r="B216" t="s">
        <v>33</v>
      </c>
      <c r="C216" s="1">
        <v>45945</v>
      </c>
      <c r="D216" t="s">
        <v>11</v>
      </c>
      <c r="E216" s="3">
        <v>0.76458333333333328</v>
      </c>
      <c r="F216" s="4">
        <v>0.79791666666666672</v>
      </c>
      <c r="G216" s="2">
        <v>95.8</v>
      </c>
      <c r="H216" s="5">
        <v>958</v>
      </c>
      <c r="I216" t="s">
        <v>18</v>
      </c>
      <c r="J216">
        <f>HOUR(Table2[[#This Row],[Charging_Start_Time]])</f>
        <v>18</v>
      </c>
    </row>
    <row r="217" spans="1:10" x14ac:dyDescent="0.3">
      <c r="A217" t="s">
        <v>241</v>
      </c>
      <c r="B217" t="s">
        <v>14</v>
      </c>
      <c r="C217" s="1">
        <v>45945</v>
      </c>
      <c r="D217" t="s">
        <v>11</v>
      </c>
      <c r="E217" s="3">
        <v>0.49305555555555558</v>
      </c>
      <c r="F217" s="4">
        <v>0.56458333333333333</v>
      </c>
      <c r="G217" s="2">
        <v>13.2</v>
      </c>
      <c r="H217" s="5">
        <v>132</v>
      </c>
      <c r="I217" t="s">
        <v>18</v>
      </c>
      <c r="J217">
        <f>HOUR(Table2[[#This Row],[Charging_Start_Time]])</f>
        <v>11</v>
      </c>
    </row>
    <row r="218" spans="1:10" x14ac:dyDescent="0.3">
      <c r="A218" t="s">
        <v>242</v>
      </c>
      <c r="B218" t="s">
        <v>20</v>
      </c>
      <c r="C218" s="1">
        <v>45945</v>
      </c>
      <c r="D218" t="s">
        <v>28</v>
      </c>
      <c r="E218" s="3">
        <v>0.8666666666666667</v>
      </c>
      <c r="F218" s="4">
        <v>0.92847222222222225</v>
      </c>
      <c r="G218" s="2">
        <v>88.8</v>
      </c>
      <c r="H218" s="5">
        <v>888</v>
      </c>
      <c r="I218" t="s">
        <v>18</v>
      </c>
      <c r="J218">
        <f>HOUR(Table2[[#This Row],[Charging_Start_Time]])</f>
        <v>20</v>
      </c>
    </row>
    <row r="219" spans="1:10" x14ac:dyDescent="0.3">
      <c r="A219" t="s">
        <v>243</v>
      </c>
      <c r="B219" t="s">
        <v>33</v>
      </c>
      <c r="C219" s="1">
        <v>45945</v>
      </c>
      <c r="D219" t="s">
        <v>28</v>
      </c>
      <c r="E219" s="3">
        <v>0.31041666666666667</v>
      </c>
      <c r="F219" s="4">
        <v>0.3527777777777778</v>
      </c>
      <c r="G219" s="2">
        <v>66.2</v>
      </c>
      <c r="H219" s="5">
        <v>662</v>
      </c>
      <c r="I219" t="s">
        <v>12</v>
      </c>
      <c r="J219">
        <f>HOUR(Table2[[#This Row],[Charging_Start_Time]])</f>
        <v>7</v>
      </c>
    </row>
    <row r="220" spans="1:10" x14ac:dyDescent="0.3">
      <c r="A220" t="s">
        <v>244</v>
      </c>
      <c r="B220" t="s">
        <v>40</v>
      </c>
      <c r="C220" s="1">
        <v>45945</v>
      </c>
      <c r="D220" t="s">
        <v>28</v>
      </c>
      <c r="E220" s="3">
        <v>0.50694444444444442</v>
      </c>
      <c r="F220" s="4">
        <v>0.54166666666666663</v>
      </c>
      <c r="G220" s="2">
        <v>96.2</v>
      </c>
      <c r="H220" s="5">
        <v>962</v>
      </c>
      <c r="I220" t="s">
        <v>18</v>
      </c>
      <c r="J220">
        <f>HOUR(Table2[[#This Row],[Charging_Start_Time]])</f>
        <v>12</v>
      </c>
    </row>
    <row r="221" spans="1:10" x14ac:dyDescent="0.3">
      <c r="A221" t="s">
        <v>245</v>
      </c>
      <c r="B221" t="s">
        <v>14</v>
      </c>
      <c r="C221" s="1">
        <v>45945</v>
      </c>
      <c r="D221" t="s">
        <v>11</v>
      </c>
      <c r="E221" s="3">
        <v>0.78333333333333333</v>
      </c>
      <c r="F221" s="4">
        <v>0.87291666666666667</v>
      </c>
      <c r="G221" s="2">
        <v>96.8</v>
      </c>
      <c r="H221" s="5">
        <v>968</v>
      </c>
      <c r="I221" t="s">
        <v>12</v>
      </c>
      <c r="J221">
        <f>HOUR(Table2[[#This Row],[Charging_Start_Time]])</f>
        <v>18</v>
      </c>
    </row>
    <row r="222" spans="1:10" x14ac:dyDescent="0.3">
      <c r="A222" t="s">
        <v>246</v>
      </c>
      <c r="B222" t="s">
        <v>20</v>
      </c>
      <c r="C222" s="1">
        <v>45945</v>
      </c>
      <c r="D222" t="s">
        <v>11</v>
      </c>
      <c r="E222" s="3">
        <v>0.68194444444444446</v>
      </c>
      <c r="F222" s="4">
        <v>0.75624999999999998</v>
      </c>
      <c r="G222" s="2">
        <v>14.3</v>
      </c>
      <c r="H222" s="5">
        <v>143</v>
      </c>
      <c r="I222" t="s">
        <v>12</v>
      </c>
      <c r="J222">
        <f>HOUR(Table2[[#This Row],[Charging_Start_Time]])</f>
        <v>16</v>
      </c>
    </row>
    <row r="223" spans="1:10" x14ac:dyDescent="0.3">
      <c r="A223" t="s">
        <v>247</v>
      </c>
      <c r="B223" t="s">
        <v>33</v>
      </c>
      <c r="C223" s="1">
        <v>45945</v>
      </c>
      <c r="D223" t="s">
        <v>11</v>
      </c>
      <c r="E223" s="3">
        <v>0.74652777777777779</v>
      </c>
      <c r="F223" s="4">
        <v>0.84166666666666667</v>
      </c>
      <c r="G223" s="2">
        <v>37.6</v>
      </c>
      <c r="H223" s="5">
        <v>376</v>
      </c>
      <c r="I223" t="s">
        <v>18</v>
      </c>
      <c r="J223">
        <f>HOUR(Table2[[#This Row],[Charging_Start_Time]])</f>
        <v>17</v>
      </c>
    </row>
    <row r="224" spans="1:10" x14ac:dyDescent="0.3">
      <c r="A224" t="s">
        <v>248</v>
      </c>
      <c r="B224" t="s">
        <v>40</v>
      </c>
      <c r="C224" s="1">
        <v>45945</v>
      </c>
      <c r="D224" t="s">
        <v>11</v>
      </c>
      <c r="E224" s="3">
        <v>0.61458333333333337</v>
      </c>
      <c r="F224" s="4">
        <v>0.71527777777777779</v>
      </c>
      <c r="G224" s="2">
        <v>30.5</v>
      </c>
      <c r="H224" s="5">
        <v>305</v>
      </c>
      <c r="I224" t="s">
        <v>18</v>
      </c>
      <c r="J224">
        <f>HOUR(Table2[[#This Row],[Charging_Start_Time]])</f>
        <v>14</v>
      </c>
    </row>
    <row r="225" spans="1:10" x14ac:dyDescent="0.3">
      <c r="A225" t="s">
        <v>249</v>
      </c>
      <c r="B225" t="s">
        <v>10</v>
      </c>
      <c r="C225" s="1">
        <v>45945</v>
      </c>
      <c r="D225" t="s">
        <v>28</v>
      </c>
      <c r="E225" s="3">
        <v>0.81180555555555556</v>
      </c>
      <c r="F225" s="4">
        <v>0.92569444444444449</v>
      </c>
      <c r="G225" s="2">
        <v>55.2</v>
      </c>
      <c r="H225" s="5">
        <v>552</v>
      </c>
      <c r="I225" t="s">
        <v>18</v>
      </c>
      <c r="J225">
        <f>HOUR(Table2[[#This Row],[Charging_Start_Time]])</f>
        <v>19</v>
      </c>
    </row>
    <row r="226" spans="1:10" x14ac:dyDescent="0.3">
      <c r="A226" t="s">
        <v>250</v>
      </c>
      <c r="B226" t="s">
        <v>52</v>
      </c>
      <c r="C226" s="1">
        <v>45945</v>
      </c>
      <c r="D226" t="s">
        <v>15</v>
      </c>
      <c r="E226" s="3">
        <v>0.33055555555555555</v>
      </c>
      <c r="F226" s="4">
        <v>0.40347222222222223</v>
      </c>
      <c r="G226" s="2">
        <v>25.3</v>
      </c>
      <c r="H226" s="5">
        <v>253</v>
      </c>
      <c r="I226" t="s">
        <v>12</v>
      </c>
      <c r="J226">
        <f>HOUR(Table2[[#This Row],[Charging_Start_Time]])</f>
        <v>7</v>
      </c>
    </row>
    <row r="227" spans="1:10" x14ac:dyDescent="0.3">
      <c r="A227" t="s">
        <v>251</v>
      </c>
      <c r="B227" t="s">
        <v>14</v>
      </c>
      <c r="C227" s="1">
        <v>45945</v>
      </c>
      <c r="D227" t="s">
        <v>24</v>
      </c>
      <c r="E227" s="3">
        <v>0.57013888888888886</v>
      </c>
      <c r="F227" s="4">
        <v>0.69027777777777777</v>
      </c>
      <c r="G227" s="2">
        <v>98.7</v>
      </c>
      <c r="H227" s="5">
        <v>987</v>
      </c>
      <c r="I227" t="s">
        <v>18</v>
      </c>
      <c r="J227">
        <f>HOUR(Table2[[#This Row],[Charging_Start_Time]])</f>
        <v>13</v>
      </c>
    </row>
    <row r="228" spans="1:10" x14ac:dyDescent="0.3">
      <c r="A228" t="s">
        <v>252</v>
      </c>
      <c r="B228" t="s">
        <v>40</v>
      </c>
      <c r="C228" s="1">
        <v>45945</v>
      </c>
      <c r="D228" t="s">
        <v>28</v>
      </c>
      <c r="E228" s="3">
        <v>0.51458333333333328</v>
      </c>
      <c r="F228" s="4">
        <v>0.58750000000000002</v>
      </c>
      <c r="G228" s="2">
        <v>47.4</v>
      </c>
      <c r="H228" s="5">
        <v>474</v>
      </c>
      <c r="I228" t="s">
        <v>22</v>
      </c>
      <c r="J228">
        <f>HOUR(Table2[[#This Row],[Charging_Start_Time]])</f>
        <v>12</v>
      </c>
    </row>
    <row r="229" spans="1:10" x14ac:dyDescent="0.3">
      <c r="A229" t="s">
        <v>253</v>
      </c>
      <c r="B229" t="s">
        <v>52</v>
      </c>
      <c r="C229" s="1">
        <v>45945</v>
      </c>
      <c r="D229" t="s">
        <v>24</v>
      </c>
      <c r="E229" s="3">
        <v>0.4861111111111111</v>
      </c>
      <c r="F229" s="4">
        <v>0.60833333333333328</v>
      </c>
      <c r="G229" s="2">
        <v>63.7</v>
      </c>
      <c r="H229" s="5">
        <v>637</v>
      </c>
      <c r="I229" t="s">
        <v>22</v>
      </c>
      <c r="J229">
        <f>HOUR(Table2[[#This Row],[Charging_Start_Time]])</f>
        <v>11</v>
      </c>
    </row>
    <row r="230" spans="1:10" x14ac:dyDescent="0.3">
      <c r="A230" t="s">
        <v>254</v>
      </c>
      <c r="B230" t="s">
        <v>20</v>
      </c>
      <c r="C230" s="1">
        <v>45945</v>
      </c>
      <c r="D230" t="s">
        <v>11</v>
      </c>
      <c r="E230" s="3">
        <v>0.85972222222222228</v>
      </c>
      <c r="F230" s="4">
        <v>0.96388888888888891</v>
      </c>
      <c r="G230" s="2">
        <v>41.7</v>
      </c>
      <c r="H230" s="5">
        <v>417</v>
      </c>
      <c r="I230" t="s">
        <v>18</v>
      </c>
      <c r="J230">
        <f>HOUR(Table2[[#This Row],[Charging_Start_Time]])</f>
        <v>20</v>
      </c>
    </row>
    <row r="231" spans="1:10" x14ac:dyDescent="0.3">
      <c r="A231" t="s">
        <v>255</v>
      </c>
      <c r="B231" t="s">
        <v>20</v>
      </c>
      <c r="C231" s="1">
        <v>45945</v>
      </c>
      <c r="D231" t="s">
        <v>11</v>
      </c>
      <c r="E231" s="3">
        <v>0.33263888888888887</v>
      </c>
      <c r="F231" s="4">
        <v>0.4375</v>
      </c>
      <c r="G231" s="2">
        <v>96.6</v>
      </c>
      <c r="H231" s="5">
        <v>966</v>
      </c>
      <c r="I231" t="s">
        <v>22</v>
      </c>
      <c r="J231">
        <f>HOUR(Table2[[#This Row],[Charging_Start_Time]])</f>
        <v>7</v>
      </c>
    </row>
    <row r="232" spans="1:10" x14ac:dyDescent="0.3">
      <c r="A232" t="s">
        <v>256</v>
      </c>
      <c r="B232" t="s">
        <v>10</v>
      </c>
      <c r="C232" s="1">
        <v>45945</v>
      </c>
      <c r="D232" t="s">
        <v>15</v>
      </c>
      <c r="E232" s="3">
        <v>0.28541666666666665</v>
      </c>
      <c r="F232" s="4">
        <v>0.38819444444444445</v>
      </c>
      <c r="G232" s="2">
        <v>78.3</v>
      </c>
      <c r="H232" s="5">
        <v>783</v>
      </c>
      <c r="I232" t="s">
        <v>12</v>
      </c>
      <c r="J232">
        <f>HOUR(Table2[[#This Row],[Charging_Start_Time]])</f>
        <v>6</v>
      </c>
    </row>
    <row r="233" spans="1:10" x14ac:dyDescent="0.3">
      <c r="A233" t="s">
        <v>257</v>
      </c>
      <c r="B233" t="s">
        <v>10</v>
      </c>
      <c r="C233" s="1">
        <v>45945</v>
      </c>
      <c r="D233" t="s">
        <v>15</v>
      </c>
      <c r="E233" s="3">
        <v>0.7680555555555556</v>
      </c>
      <c r="F233" s="4">
        <v>0.87291666666666667</v>
      </c>
      <c r="G233" s="2">
        <v>70.8</v>
      </c>
      <c r="H233" s="5">
        <v>708</v>
      </c>
      <c r="I233" t="s">
        <v>18</v>
      </c>
      <c r="J233">
        <f>HOUR(Table2[[#This Row],[Charging_Start_Time]])</f>
        <v>18</v>
      </c>
    </row>
    <row r="234" spans="1:10" x14ac:dyDescent="0.3">
      <c r="A234" t="s">
        <v>258</v>
      </c>
      <c r="B234" t="s">
        <v>26</v>
      </c>
      <c r="C234" s="1">
        <v>45945</v>
      </c>
      <c r="D234" t="s">
        <v>24</v>
      </c>
      <c r="E234" s="3">
        <v>0.80486111111111114</v>
      </c>
      <c r="F234" s="4">
        <v>0.91666666666666663</v>
      </c>
      <c r="G234" s="2">
        <v>82.6</v>
      </c>
      <c r="H234" s="5">
        <v>826</v>
      </c>
      <c r="I234" t="s">
        <v>12</v>
      </c>
      <c r="J234">
        <f>HOUR(Table2[[#This Row],[Charging_Start_Time]])</f>
        <v>19</v>
      </c>
    </row>
    <row r="235" spans="1:10" x14ac:dyDescent="0.3">
      <c r="A235" t="s">
        <v>259</v>
      </c>
      <c r="B235" t="s">
        <v>10</v>
      </c>
      <c r="C235" s="1">
        <v>45945</v>
      </c>
      <c r="D235" t="s">
        <v>11</v>
      </c>
      <c r="E235" s="3">
        <v>0.86875000000000002</v>
      </c>
      <c r="F235" s="4">
        <v>0.91041666666666665</v>
      </c>
      <c r="G235" s="2">
        <v>18.399999999999999</v>
      </c>
      <c r="H235" s="5">
        <v>184</v>
      </c>
      <c r="I235" t="s">
        <v>22</v>
      </c>
      <c r="J235">
        <f>HOUR(Table2[[#This Row],[Charging_Start_Time]])</f>
        <v>20</v>
      </c>
    </row>
    <row r="236" spans="1:10" x14ac:dyDescent="0.3">
      <c r="A236" t="s">
        <v>260</v>
      </c>
      <c r="B236" t="s">
        <v>20</v>
      </c>
      <c r="C236" s="1">
        <v>45945</v>
      </c>
      <c r="D236" t="s">
        <v>15</v>
      </c>
      <c r="E236" s="3">
        <v>0.26944444444444443</v>
      </c>
      <c r="F236" s="4">
        <v>0.39374999999999999</v>
      </c>
      <c r="G236" s="2">
        <v>77.900000000000006</v>
      </c>
      <c r="H236" s="5">
        <v>779</v>
      </c>
      <c r="I236" t="s">
        <v>18</v>
      </c>
      <c r="J236">
        <f>HOUR(Table2[[#This Row],[Charging_Start_Time]])</f>
        <v>6</v>
      </c>
    </row>
    <row r="237" spans="1:10" x14ac:dyDescent="0.3">
      <c r="A237" t="s">
        <v>261</v>
      </c>
      <c r="B237" t="s">
        <v>26</v>
      </c>
      <c r="C237" s="1">
        <v>45945</v>
      </c>
      <c r="D237" t="s">
        <v>28</v>
      </c>
      <c r="E237" s="3">
        <v>0.65138888888888891</v>
      </c>
      <c r="F237" s="4">
        <v>0.70416666666666672</v>
      </c>
      <c r="G237" s="2">
        <v>95.3</v>
      </c>
      <c r="H237" s="5">
        <v>953</v>
      </c>
      <c r="I237" t="s">
        <v>18</v>
      </c>
      <c r="J237">
        <f>HOUR(Table2[[#This Row],[Charging_Start_Time]])</f>
        <v>15</v>
      </c>
    </row>
    <row r="238" spans="1:10" x14ac:dyDescent="0.3">
      <c r="A238" t="s">
        <v>262</v>
      </c>
      <c r="B238" t="s">
        <v>52</v>
      </c>
      <c r="C238" s="1">
        <v>45945</v>
      </c>
      <c r="D238" t="s">
        <v>11</v>
      </c>
      <c r="E238" s="3">
        <v>0.64097222222222228</v>
      </c>
      <c r="F238" s="4">
        <v>0.73819444444444449</v>
      </c>
      <c r="G238" s="2">
        <v>58.3</v>
      </c>
      <c r="H238" s="5">
        <v>583</v>
      </c>
      <c r="I238" t="s">
        <v>18</v>
      </c>
      <c r="J238">
        <f>HOUR(Table2[[#This Row],[Charging_Start_Time]])</f>
        <v>15</v>
      </c>
    </row>
    <row r="239" spans="1:10" x14ac:dyDescent="0.3">
      <c r="A239" t="s">
        <v>263</v>
      </c>
      <c r="B239" t="s">
        <v>40</v>
      </c>
      <c r="C239" s="1">
        <v>45945</v>
      </c>
      <c r="D239" t="s">
        <v>24</v>
      </c>
      <c r="E239" s="3">
        <v>0.60972222222222228</v>
      </c>
      <c r="F239" s="4">
        <v>0.70972222222222225</v>
      </c>
      <c r="G239" s="2">
        <v>53.8</v>
      </c>
      <c r="H239" s="5">
        <v>538</v>
      </c>
      <c r="I239" t="s">
        <v>22</v>
      </c>
      <c r="J239">
        <f>HOUR(Table2[[#This Row],[Charging_Start_Time]])</f>
        <v>14</v>
      </c>
    </row>
    <row r="240" spans="1:10" x14ac:dyDescent="0.3">
      <c r="A240" t="s">
        <v>264</v>
      </c>
      <c r="B240" t="s">
        <v>33</v>
      </c>
      <c r="C240" s="1">
        <v>45945</v>
      </c>
      <c r="D240" t="s">
        <v>24</v>
      </c>
      <c r="E240" s="3">
        <v>0.56111111111111112</v>
      </c>
      <c r="F240" s="4">
        <v>0.66249999999999998</v>
      </c>
      <c r="G240" s="2">
        <v>36</v>
      </c>
      <c r="H240" s="5">
        <v>360</v>
      </c>
      <c r="I240" t="s">
        <v>12</v>
      </c>
      <c r="J240">
        <f>HOUR(Table2[[#This Row],[Charging_Start_Time]])</f>
        <v>13</v>
      </c>
    </row>
    <row r="241" spans="1:10" x14ac:dyDescent="0.3">
      <c r="A241" t="s">
        <v>265</v>
      </c>
      <c r="B241" t="s">
        <v>33</v>
      </c>
      <c r="C241" s="1">
        <v>45945</v>
      </c>
      <c r="D241" t="s">
        <v>11</v>
      </c>
      <c r="E241" s="3">
        <v>0.41666666666666669</v>
      </c>
      <c r="F241" s="4">
        <v>0.53333333333333333</v>
      </c>
      <c r="G241" s="2">
        <v>44.4</v>
      </c>
      <c r="H241" s="5">
        <v>444</v>
      </c>
      <c r="I241" t="s">
        <v>22</v>
      </c>
      <c r="J241">
        <f>HOUR(Table2[[#This Row],[Charging_Start_Time]])</f>
        <v>10</v>
      </c>
    </row>
    <row r="242" spans="1:10" x14ac:dyDescent="0.3">
      <c r="A242" t="s">
        <v>266</v>
      </c>
      <c r="B242" t="s">
        <v>14</v>
      </c>
      <c r="C242" s="1">
        <v>45945</v>
      </c>
      <c r="D242" t="s">
        <v>11</v>
      </c>
      <c r="E242" s="3">
        <v>0.37986111111111109</v>
      </c>
      <c r="F242" s="4">
        <v>0.46736111111111112</v>
      </c>
      <c r="G242" s="2">
        <v>70.7</v>
      </c>
      <c r="H242" s="5">
        <v>707</v>
      </c>
      <c r="I242" t="s">
        <v>12</v>
      </c>
      <c r="J242">
        <f>HOUR(Table2[[#This Row],[Charging_Start_Time]])</f>
        <v>9</v>
      </c>
    </row>
    <row r="243" spans="1:10" x14ac:dyDescent="0.3">
      <c r="A243" t="s">
        <v>267</v>
      </c>
      <c r="B243" t="s">
        <v>40</v>
      </c>
      <c r="C243" s="1">
        <v>45945</v>
      </c>
      <c r="D243" t="s">
        <v>28</v>
      </c>
      <c r="E243" s="3">
        <v>0.72569444444444442</v>
      </c>
      <c r="F243" s="4">
        <v>0.82013888888888886</v>
      </c>
      <c r="G243" s="2">
        <v>34.299999999999997</v>
      </c>
      <c r="H243" s="5">
        <v>343</v>
      </c>
      <c r="I243" t="s">
        <v>18</v>
      </c>
      <c r="J243">
        <f>HOUR(Table2[[#This Row],[Charging_Start_Time]])</f>
        <v>17</v>
      </c>
    </row>
    <row r="244" spans="1:10" x14ac:dyDescent="0.3">
      <c r="A244" t="s">
        <v>268</v>
      </c>
      <c r="B244" t="s">
        <v>30</v>
      </c>
      <c r="C244" s="1">
        <v>45945</v>
      </c>
      <c r="D244" t="s">
        <v>11</v>
      </c>
      <c r="E244" s="3">
        <v>0.33541666666666664</v>
      </c>
      <c r="F244" s="4">
        <v>0.44374999999999998</v>
      </c>
      <c r="G244" s="2">
        <v>99.5</v>
      </c>
      <c r="H244" s="5">
        <v>995</v>
      </c>
      <c r="I244" t="s">
        <v>12</v>
      </c>
      <c r="J244">
        <f>HOUR(Table2[[#This Row],[Charging_Start_Time]])</f>
        <v>8</v>
      </c>
    </row>
    <row r="245" spans="1:10" x14ac:dyDescent="0.3">
      <c r="A245" t="s">
        <v>269</v>
      </c>
      <c r="B245" t="s">
        <v>26</v>
      </c>
      <c r="C245" s="1">
        <v>45945</v>
      </c>
      <c r="D245" t="s">
        <v>24</v>
      </c>
      <c r="E245" s="3">
        <v>0.69444444444444442</v>
      </c>
      <c r="F245" s="4">
        <v>0.8041666666666667</v>
      </c>
      <c r="G245" s="2">
        <v>20.100000000000001</v>
      </c>
      <c r="H245" s="5">
        <v>201</v>
      </c>
      <c r="I245" t="s">
        <v>18</v>
      </c>
      <c r="J245">
        <f>HOUR(Table2[[#This Row],[Charging_Start_Time]])</f>
        <v>16</v>
      </c>
    </row>
    <row r="246" spans="1:10" x14ac:dyDescent="0.3">
      <c r="A246" t="s">
        <v>270</v>
      </c>
      <c r="B246" t="s">
        <v>10</v>
      </c>
      <c r="C246" s="1">
        <v>45945</v>
      </c>
      <c r="D246" t="s">
        <v>15</v>
      </c>
      <c r="E246" s="3">
        <v>0.52152777777777781</v>
      </c>
      <c r="F246" s="4">
        <v>0.60624999999999996</v>
      </c>
      <c r="G246" s="2">
        <v>34.6</v>
      </c>
      <c r="H246" s="5">
        <v>346</v>
      </c>
      <c r="I246" t="s">
        <v>12</v>
      </c>
      <c r="J246">
        <f>HOUR(Table2[[#This Row],[Charging_Start_Time]])</f>
        <v>12</v>
      </c>
    </row>
    <row r="247" spans="1:10" x14ac:dyDescent="0.3">
      <c r="A247" t="s">
        <v>271</v>
      </c>
      <c r="B247" t="s">
        <v>20</v>
      </c>
      <c r="C247" s="1">
        <v>45945</v>
      </c>
      <c r="D247" t="s">
        <v>15</v>
      </c>
      <c r="E247" s="3">
        <v>0.25833333333333336</v>
      </c>
      <c r="F247" s="4">
        <v>0.32222222222222224</v>
      </c>
      <c r="G247" s="2">
        <v>24.5</v>
      </c>
      <c r="H247" s="5">
        <v>245</v>
      </c>
      <c r="I247" t="s">
        <v>12</v>
      </c>
      <c r="J247">
        <f>HOUR(Table2[[#This Row],[Charging_Start_Time]])</f>
        <v>6</v>
      </c>
    </row>
    <row r="248" spans="1:10" x14ac:dyDescent="0.3">
      <c r="A248" t="s">
        <v>272</v>
      </c>
      <c r="B248" t="s">
        <v>20</v>
      </c>
      <c r="C248" s="1">
        <v>45945</v>
      </c>
      <c r="D248" t="s">
        <v>24</v>
      </c>
      <c r="E248" s="3">
        <v>0.7944444444444444</v>
      </c>
      <c r="F248" s="4">
        <v>0.83333333333333337</v>
      </c>
      <c r="G248" s="2">
        <v>97.2</v>
      </c>
      <c r="H248" s="5">
        <v>972</v>
      </c>
      <c r="I248" t="s">
        <v>18</v>
      </c>
      <c r="J248">
        <f>HOUR(Table2[[#This Row],[Charging_Start_Time]])</f>
        <v>19</v>
      </c>
    </row>
    <row r="249" spans="1:10" x14ac:dyDescent="0.3">
      <c r="A249" t="s">
        <v>273</v>
      </c>
      <c r="B249" t="s">
        <v>30</v>
      </c>
      <c r="C249" s="1">
        <v>45945</v>
      </c>
      <c r="D249" t="s">
        <v>11</v>
      </c>
      <c r="E249" s="3">
        <v>0.31388888888888888</v>
      </c>
      <c r="F249" s="4">
        <v>0.39930555555555558</v>
      </c>
      <c r="G249" s="2">
        <v>84.4</v>
      </c>
      <c r="H249" s="5">
        <v>844</v>
      </c>
      <c r="I249" t="s">
        <v>12</v>
      </c>
      <c r="J249">
        <f>HOUR(Table2[[#This Row],[Charging_Start_Time]])</f>
        <v>7</v>
      </c>
    </row>
    <row r="250" spans="1:10" x14ac:dyDescent="0.3">
      <c r="A250" t="s">
        <v>274</v>
      </c>
      <c r="B250" t="s">
        <v>52</v>
      </c>
      <c r="C250" s="1">
        <v>45945</v>
      </c>
      <c r="D250" t="s">
        <v>24</v>
      </c>
      <c r="E250" s="3">
        <v>0.35208333333333336</v>
      </c>
      <c r="F250" s="4">
        <v>0.43680555555555556</v>
      </c>
      <c r="G250" s="2">
        <v>36</v>
      </c>
      <c r="H250" s="5">
        <v>360</v>
      </c>
      <c r="I250" t="s">
        <v>12</v>
      </c>
      <c r="J250">
        <f>HOUR(Table2[[#This Row],[Charging_Start_Time]])</f>
        <v>8</v>
      </c>
    </row>
    <row r="251" spans="1:10" x14ac:dyDescent="0.3">
      <c r="A251" t="s">
        <v>275</v>
      </c>
      <c r="B251" t="s">
        <v>14</v>
      </c>
      <c r="C251" s="1">
        <v>45945</v>
      </c>
      <c r="D251" t="s">
        <v>24</v>
      </c>
      <c r="E251" s="3">
        <v>0.43125000000000002</v>
      </c>
      <c r="F251" s="4">
        <v>0.52777777777777779</v>
      </c>
      <c r="G251" s="2">
        <v>91.2</v>
      </c>
      <c r="H251" s="5">
        <v>912</v>
      </c>
      <c r="I251" t="s">
        <v>12</v>
      </c>
      <c r="J251">
        <f>HOUR(Table2[[#This Row],[Charging_Start_Time]])</f>
        <v>10</v>
      </c>
    </row>
    <row r="252" spans="1:10" x14ac:dyDescent="0.3">
      <c r="A252" t="s">
        <v>276</v>
      </c>
      <c r="B252" t="s">
        <v>14</v>
      </c>
      <c r="C252" s="1">
        <v>45945</v>
      </c>
      <c r="D252" t="s">
        <v>11</v>
      </c>
      <c r="E252" s="3">
        <v>0.62222222222222223</v>
      </c>
      <c r="F252" s="4">
        <v>0.70833333333333337</v>
      </c>
      <c r="G252" s="2">
        <v>12.6</v>
      </c>
      <c r="H252" s="5">
        <v>126</v>
      </c>
      <c r="I252" t="s">
        <v>22</v>
      </c>
      <c r="J252">
        <f>HOUR(Table2[[#This Row],[Charging_Start_Time]])</f>
        <v>14</v>
      </c>
    </row>
    <row r="253" spans="1:10" x14ac:dyDescent="0.3">
      <c r="A253" t="s">
        <v>277</v>
      </c>
      <c r="B253" t="s">
        <v>20</v>
      </c>
      <c r="C253" s="1">
        <v>45945</v>
      </c>
      <c r="D253" t="s">
        <v>28</v>
      </c>
      <c r="E253" s="3">
        <v>0.5493055555555556</v>
      </c>
      <c r="F253" s="4">
        <v>0.57291666666666663</v>
      </c>
      <c r="G253" s="2">
        <v>42.5</v>
      </c>
      <c r="H253" s="5">
        <v>425</v>
      </c>
      <c r="I253" t="s">
        <v>12</v>
      </c>
      <c r="J253">
        <f>HOUR(Table2[[#This Row],[Charging_Start_Time]])</f>
        <v>13</v>
      </c>
    </row>
    <row r="254" spans="1:10" x14ac:dyDescent="0.3">
      <c r="A254" t="s">
        <v>278</v>
      </c>
      <c r="B254" t="s">
        <v>10</v>
      </c>
      <c r="C254" s="1">
        <v>45945</v>
      </c>
      <c r="D254" t="s">
        <v>11</v>
      </c>
      <c r="E254" s="3">
        <v>0.56736111111111109</v>
      </c>
      <c r="F254" s="4">
        <v>0.61319444444444449</v>
      </c>
      <c r="G254" s="2">
        <v>12.5</v>
      </c>
      <c r="H254" s="5">
        <v>125</v>
      </c>
      <c r="I254" t="s">
        <v>22</v>
      </c>
      <c r="J254">
        <f>HOUR(Table2[[#This Row],[Charging_Start_Time]])</f>
        <v>13</v>
      </c>
    </row>
    <row r="255" spans="1:10" x14ac:dyDescent="0.3">
      <c r="A255" t="s">
        <v>279</v>
      </c>
      <c r="B255" t="s">
        <v>30</v>
      </c>
      <c r="C255" s="1">
        <v>45945</v>
      </c>
      <c r="D255" t="s">
        <v>28</v>
      </c>
      <c r="E255" s="3">
        <v>0.62083333333333335</v>
      </c>
      <c r="F255" s="4">
        <v>0.70486111111111116</v>
      </c>
      <c r="G255" s="2">
        <v>78</v>
      </c>
      <c r="H255" s="5">
        <v>780</v>
      </c>
      <c r="I255" t="s">
        <v>12</v>
      </c>
      <c r="J255">
        <f>HOUR(Table2[[#This Row],[Charging_Start_Time]])</f>
        <v>14</v>
      </c>
    </row>
    <row r="256" spans="1:10" x14ac:dyDescent="0.3">
      <c r="A256" t="s">
        <v>280</v>
      </c>
      <c r="B256" t="s">
        <v>40</v>
      </c>
      <c r="C256" s="1">
        <v>45945</v>
      </c>
      <c r="D256" t="s">
        <v>15</v>
      </c>
      <c r="E256" s="3">
        <v>0.33819444444444446</v>
      </c>
      <c r="F256" s="4">
        <v>0.40902777777777777</v>
      </c>
      <c r="G256" s="2">
        <v>31.7</v>
      </c>
      <c r="H256" s="5">
        <v>317</v>
      </c>
      <c r="I256" t="s">
        <v>12</v>
      </c>
      <c r="J256">
        <f>HOUR(Table2[[#This Row],[Charging_Start_Time]])</f>
        <v>8</v>
      </c>
    </row>
    <row r="257" spans="1:10" x14ac:dyDescent="0.3">
      <c r="A257" t="s">
        <v>281</v>
      </c>
      <c r="B257" t="s">
        <v>26</v>
      </c>
      <c r="C257" s="1">
        <v>45945</v>
      </c>
      <c r="D257" t="s">
        <v>11</v>
      </c>
      <c r="E257" s="3">
        <v>0.43611111111111112</v>
      </c>
      <c r="F257" s="4">
        <v>0.50763888888888886</v>
      </c>
      <c r="G257" s="2">
        <v>81.5</v>
      </c>
      <c r="H257" s="5">
        <v>815</v>
      </c>
      <c r="I257" t="s">
        <v>12</v>
      </c>
      <c r="J257">
        <f>HOUR(Table2[[#This Row],[Charging_Start_Time]])</f>
        <v>10</v>
      </c>
    </row>
    <row r="258" spans="1:10" x14ac:dyDescent="0.3">
      <c r="A258" t="s">
        <v>282</v>
      </c>
      <c r="B258" t="s">
        <v>33</v>
      </c>
      <c r="C258" s="1">
        <v>45945</v>
      </c>
      <c r="D258" t="s">
        <v>28</v>
      </c>
      <c r="E258" s="3">
        <v>0.57916666666666672</v>
      </c>
      <c r="F258" s="4">
        <v>0.61388888888888893</v>
      </c>
      <c r="G258" s="2">
        <v>57</v>
      </c>
      <c r="H258" s="5">
        <v>570</v>
      </c>
      <c r="I258" t="s">
        <v>18</v>
      </c>
      <c r="J258">
        <f>HOUR(Table2[[#This Row],[Charging_Start_Time]])</f>
        <v>13</v>
      </c>
    </row>
    <row r="259" spans="1:10" x14ac:dyDescent="0.3">
      <c r="A259" t="s">
        <v>283</v>
      </c>
      <c r="B259" t="s">
        <v>33</v>
      </c>
      <c r="C259" s="1">
        <v>45945</v>
      </c>
      <c r="D259" t="s">
        <v>24</v>
      </c>
      <c r="E259" s="3">
        <v>0.37222222222222223</v>
      </c>
      <c r="F259" s="4">
        <v>0.48055555555555557</v>
      </c>
      <c r="G259" s="2">
        <v>43.2</v>
      </c>
      <c r="H259" s="5">
        <v>432</v>
      </c>
      <c r="I259" t="s">
        <v>18</v>
      </c>
      <c r="J259">
        <f>HOUR(Table2[[#This Row],[Charging_Start_Time]])</f>
        <v>8</v>
      </c>
    </row>
    <row r="260" spans="1:10" x14ac:dyDescent="0.3">
      <c r="A260" t="s">
        <v>284</v>
      </c>
      <c r="B260" t="s">
        <v>30</v>
      </c>
      <c r="C260" s="1">
        <v>45945</v>
      </c>
      <c r="D260" t="s">
        <v>24</v>
      </c>
      <c r="E260" s="3">
        <v>0.62291666666666667</v>
      </c>
      <c r="F260" s="4">
        <v>0.65555555555555556</v>
      </c>
      <c r="G260" s="2">
        <v>79.2</v>
      </c>
      <c r="H260" s="5">
        <v>792</v>
      </c>
      <c r="I260" t="s">
        <v>18</v>
      </c>
      <c r="J260">
        <f>HOUR(Table2[[#This Row],[Charging_Start_Time]])</f>
        <v>14</v>
      </c>
    </row>
    <row r="261" spans="1:10" x14ac:dyDescent="0.3">
      <c r="A261" t="s">
        <v>285</v>
      </c>
      <c r="B261" t="s">
        <v>14</v>
      </c>
      <c r="C261" s="1">
        <v>45945</v>
      </c>
      <c r="D261" t="s">
        <v>15</v>
      </c>
      <c r="E261" s="3">
        <v>0.65833333333333333</v>
      </c>
      <c r="F261" s="4">
        <v>0.68888888888888888</v>
      </c>
      <c r="G261" s="2">
        <v>24.3</v>
      </c>
      <c r="H261" s="5">
        <v>243</v>
      </c>
      <c r="I261" t="s">
        <v>18</v>
      </c>
      <c r="J261">
        <f>HOUR(Table2[[#This Row],[Charging_Start_Time]])</f>
        <v>15</v>
      </c>
    </row>
    <row r="262" spans="1:10" x14ac:dyDescent="0.3">
      <c r="A262" t="s">
        <v>286</v>
      </c>
      <c r="B262" t="s">
        <v>14</v>
      </c>
      <c r="C262" s="1">
        <v>45945</v>
      </c>
      <c r="D262" t="s">
        <v>28</v>
      </c>
      <c r="E262" s="3">
        <v>0.47916666666666669</v>
      </c>
      <c r="F262" s="4">
        <v>0.55625000000000002</v>
      </c>
      <c r="G262" s="2">
        <v>27.7</v>
      </c>
      <c r="H262" s="5">
        <v>277</v>
      </c>
      <c r="I262" t="s">
        <v>18</v>
      </c>
      <c r="J262">
        <f>HOUR(Table2[[#This Row],[Charging_Start_Time]])</f>
        <v>11</v>
      </c>
    </row>
    <row r="263" spans="1:10" x14ac:dyDescent="0.3">
      <c r="A263" t="s">
        <v>287</v>
      </c>
      <c r="B263" t="s">
        <v>52</v>
      </c>
      <c r="C263" s="1">
        <v>45945</v>
      </c>
      <c r="D263" t="s">
        <v>11</v>
      </c>
      <c r="E263" s="3">
        <v>0.83194444444444449</v>
      </c>
      <c r="F263" s="4">
        <v>0.9243055555555556</v>
      </c>
      <c r="G263" s="2">
        <v>59.1</v>
      </c>
      <c r="H263" s="5">
        <v>591</v>
      </c>
      <c r="I263" t="s">
        <v>22</v>
      </c>
      <c r="J263">
        <f>HOUR(Table2[[#This Row],[Charging_Start_Time]])</f>
        <v>19</v>
      </c>
    </row>
    <row r="264" spans="1:10" x14ac:dyDescent="0.3">
      <c r="A264" t="s">
        <v>288</v>
      </c>
      <c r="B264" t="s">
        <v>26</v>
      </c>
      <c r="C264" s="1">
        <v>45945</v>
      </c>
      <c r="D264" t="s">
        <v>28</v>
      </c>
      <c r="E264" s="3">
        <v>0.6430555555555556</v>
      </c>
      <c r="F264" s="4">
        <v>0.72430555555555554</v>
      </c>
      <c r="G264" s="2">
        <v>37.700000000000003</v>
      </c>
      <c r="H264" s="5">
        <v>377</v>
      </c>
      <c r="I264" t="s">
        <v>22</v>
      </c>
      <c r="J264">
        <f>HOUR(Table2[[#This Row],[Charging_Start_Time]])</f>
        <v>15</v>
      </c>
    </row>
    <row r="265" spans="1:10" x14ac:dyDescent="0.3">
      <c r="A265" t="s">
        <v>289</v>
      </c>
      <c r="B265" t="s">
        <v>30</v>
      </c>
      <c r="C265" s="1">
        <v>45945</v>
      </c>
      <c r="D265" t="s">
        <v>11</v>
      </c>
      <c r="E265" s="3">
        <v>0.60277777777777775</v>
      </c>
      <c r="F265" s="4">
        <v>0.66666666666666663</v>
      </c>
      <c r="G265" s="2">
        <v>25.1</v>
      </c>
      <c r="H265" s="5">
        <v>251</v>
      </c>
      <c r="I265" t="s">
        <v>22</v>
      </c>
      <c r="J265">
        <f>HOUR(Table2[[#This Row],[Charging_Start_Time]])</f>
        <v>14</v>
      </c>
    </row>
    <row r="266" spans="1:10" x14ac:dyDescent="0.3">
      <c r="A266" t="s">
        <v>290</v>
      </c>
      <c r="B266" t="s">
        <v>52</v>
      </c>
      <c r="C266" s="1">
        <v>45945</v>
      </c>
      <c r="D266" t="s">
        <v>15</v>
      </c>
      <c r="E266" s="3">
        <v>0.55694444444444446</v>
      </c>
      <c r="F266" s="4">
        <v>0.58263888888888893</v>
      </c>
      <c r="G266" s="2">
        <v>41.8</v>
      </c>
      <c r="H266" s="5">
        <v>418</v>
      </c>
      <c r="I266" t="s">
        <v>22</v>
      </c>
      <c r="J266">
        <f>HOUR(Table2[[#This Row],[Charging_Start_Time]])</f>
        <v>13</v>
      </c>
    </row>
    <row r="267" spans="1:10" x14ac:dyDescent="0.3">
      <c r="A267" t="s">
        <v>291</v>
      </c>
      <c r="B267" t="s">
        <v>17</v>
      </c>
      <c r="C267" s="1">
        <v>45945</v>
      </c>
      <c r="D267" t="s">
        <v>11</v>
      </c>
      <c r="E267" s="3">
        <v>0.68888888888888888</v>
      </c>
      <c r="F267" s="4">
        <v>0.80902777777777779</v>
      </c>
      <c r="G267" s="2">
        <v>18.8</v>
      </c>
      <c r="H267" s="5">
        <v>188</v>
      </c>
      <c r="I267" t="s">
        <v>22</v>
      </c>
      <c r="J267">
        <f>HOUR(Table2[[#This Row],[Charging_Start_Time]])</f>
        <v>16</v>
      </c>
    </row>
    <row r="268" spans="1:10" x14ac:dyDescent="0.3">
      <c r="A268" t="s">
        <v>292</v>
      </c>
      <c r="B268" t="s">
        <v>30</v>
      </c>
      <c r="C268" s="1">
        <v>45945</v>
      </c>
      <c r="D268" t="s">
        <v>24</v>
      </c>
      <c r="E268" s="3">
        <v>0.37222222222222223</v>
      </c>
      <c r="F268" s="4">
        <v>0.49166666666666664</v>
      </c>
      <c r="G268" s="2">
        <v>13</v>
      </c>
      <c r="H268" s="5">
        <v>130</v>
      </c>
      <c r="I268" t="s">
        <v>22</v>
      </c>
      <c r="J268">
        <f>HOUR(Table2[[#This Row],[Charging_Start_Time]])</f>
        <v>8</v>
      </c>
    </row>
    <row r="269" spans="1:10" x14ac:dyDescent="0.3">
      <c r="A269" t="s">
        <v>293</v>
      </c>
      <c r="B269" t="s">
        <v>20</v>
      </c>
      <c r="C269" s="1">
        <v>45945</v>
      </c>
      <c r="D269" t="s">
        <v>24</v>
      </c>
      <c r="E269" s="3">
        <v>0.52847222222222223</v>
      </c>
      <c r="F269" s="4">
        <v>0.64652777777777781</v>
      </c>
      <c r="G269" s="2">
        <v>58.4</v>
      </c>
      <c r="H269" s="5">
        <v>584</v>
      </c>
      <c r="I269" t="s">
        <v>18</v>
      </c>
      <c r="J269">
        <f>HOUR(Table2[[#This Row],[Charging_Start_Time]])</f>
        <v>12</v>
      </c>
    </row>
    <row r="270" spans="1:10" x14ac:dyDescent="0.3">
      <c r="A270" t="s">
        <v>294</v>
      </c>
      <c r="B270" t="s">
        <v>52</v>
      </c>
      <c r="C270" s="1">
        <v>45945</v>
      </c>
      <c r="D270" t="s">
        <v>11</v>
      </c>
      <c r="E270" s="3">
        <v>0.67847222222222225</v>
      </c>
      <c r="F270" s="4">
        <v>0.76458333333333328</v>
      </c>
      <c r="G270" s="2">
        <v>11.8</v>
      </c>
      <c r="H270" s="5">
        <v>118</v>
      </c>
      <c r="I270" t="s">
        <v>18</v>
      </c>
      <c r="J270">
        <f>HOUR(Table2[[#This Row],[Charging_Start_Time]])</f>
        <v>16</v>
      </c>
    </row>
    <row r="271" spans="1:10" x14ac:dyDescent="0.3">
      <c r="A271" t="s">
        <v>295</v>
      </c>
      <c r="B271" t="s">
        <v>30</v>
      </c>
      <c r="C271" s="1">
        <v>45945</v>
      </c>
      <c r="D271" t="s">
        <v>24</v>
      </c>
      <c r="E271" s="3">
        <v>0.43541666666666667</v>
      </c>
      <c r="F271" s="4">
        <v>0.5180555555555556</v>
      </c>
      <c r="G271" s="2">
        <v>29.4</v>
      </c>
      <c r="H271" s="5">
        <v>294</v>
      </c>
      <c r="I271" t="s">
        <v>22</v>
      </c>
      <c r="J271">
        <f>HOUR(Table2[[#This Row],[Charging_Start_Time]])</f>
        <v>10</v>
      </c>
    </row>
    <row r="272" spans="1:10" x14ac:dyDescent="0.3">
      <c r="A272" t="s">
        <v>296</v>
      </c>
      <c r="B272" t="s">
        <v>26</v>
      </c>
      <c r="C272" s="1">
        <v>45945</v>
      </c>
      <c r="D272" t="s">
        <v>15</v>
      </c>
      <c r="E272" s="3">
        <v>0.32847222222222222</v>
      </c>
      <c r="F272" s="4">
        <v>0.39791666666666664</v>
      </c>
      <c r="G272" s="2">
        <v>77.2</v>
      </c>
      <c r="H272" s="5">
        <v>772</v>
      </c>
      <c r="I272" t="s">
        <v>12</v>
      </c>
      <c r="J272">
        <f>HOUR(Table2[[#This Row],[Charging_Start_Time]])</f>
        <v>7</v>
      </c>
    </row>
    <row r="273" spans="1:10" x14ac:dyDescent="0.3">
      <c r="A273" t="s">
        <v>297</v>
      </c>
      <c r="B273" t="s">
        <v>14</v>
      </c>
      <c r="C273" s="1">
        <v>45945</v>
      </c>
      <c r="D273" t="s">
        <v>11</v>
      </c>
      <c r="E273" s="3">
        <v>0.7631944444444444</v>
      </c>
      <c r="F273" s="4">
        <v>0.81458333333333333</v>
      </c>
      <c r="G273" s="2">
        <v>50</v>
      </c>
      <c r="H273" s="5">
        <v>500</v>
      </c>
      <c r="I273" t="s">
        <v>22</v>
      </c>
      <c r="J273">
        <f>HOUR(Table2[[#This Row],[Charging_Start_Time]])</f>
        <v>18</v>
      </c>
    </row>
    <row r="274" spans="1:10" x14ac:dyDescent="0.3">
      <c r="A274" t="s">
        <v>298</v>
      </c>
      <c r="B274" t="s">
        <v>20</v>
      </c>
      <c r="C274" s="1">
        <v>45945</v>
      </c>
      <c r="D274" t="s">
        <v>24</v>
      </c>
      <c r="E274" s="3">
        <v>0.7680555555555556</v>
      </c>
      <c r="F274" s="4">
        <v>0.82222222222222219</v>
      </c>
      <c r="G274" s="2">
        <v>74.099999999999994</v>
      </c>
      <c r="H274" s="5">
        <v>741</v>
      </c>
      <c r="I274" t="s">
        <v>18</v>
      </c>
      <c r="J274">
        <f>HOUR(Table2[[#This Row],[Charging_Start_Time]])</f>
        <v>18</v>
      </c>
    </row>
    <row r="275" spans="1:10" x14ac:dyDescent="0.3">
      <c r="A275" t="s">
        <v>299</v>
      </c>
      <c r="B275" t="s">
        <v>17</v>
      </c>
      <c r="C275" s="1">
        <v>45945</v>
      </c>
      <c r="D275" t="s">
        <v>11</v>
      </c>
      <c r="E275" s="3">
        <v>0.35486111111111113</v>
      </c>
      <c r="F275" s="4">
        <v>0.42986111111111114</v>
      </c>
      <c r="G275" s="2">
        <v>16.2</v>
      </c>
      <c r="H275" s="5">
        <v>162</v>
      </c>
      <c r="I275" t="s">
        <v>12</v>
      </c>
      <c r="J275">
        <f>HOUR(Table2[[#This Row],[Charging_Start_Time]])</f>
        <v>8</v>
      </c>
    </row>
    <row r="276" spans="1:10" x14ac:dyDescent="0.3">
      <c r="A276" t="s">
        <v>300</v>
      </c>
      <c r="B276" t="s">
        <v>52</v>
      </c>
      <c r="C276" s="1">
        <v>45945</v>
      </c>
      <c r="D276" t="s">
        <v>28</v>
      </c>
      <c r="E276" s="3">
        <v>0.85624999999999996</v>
      </c>
      <c r="F276" s="4">
        <v>0.92986111111111114</v>
      </c>
      <c r="G276" s="2">
        <v>18.100000000000001</v>
      </c>
      <c r="H276" s="5">
        <v>181</v>
      </c>
      <c r="I276" t="s">
        <v>22</v>
      </c>
      <c r="J276">
        <f>HOUR(Table2[[#This Row],[Charging_Start_Time]])</f>
        <v>20</v>
      </c>
    </row>
    <row r="277" spans="1:10" x14ac:dyDescent="0.3">
      <c r="A277" t="s">
        <v>301</v>
      </c>
      <c r="B277" t="s">
        <v>10</v>
      </c>
      <c r="C277" s="1">
        <v>45945</v>
      </c>
      <c r="D277" t="s">
        <v>15</v>
      </c>
      <c r="E277" s="3">
        <v>0.74722222222222223</v>
      </c>
      <c r="F277" s="4">
        <v>0.78749999999999998</v>
      </c>
      <c r="G277" s="2">
        <v>55.5</v>
      </c>
      <c r="H277" s="5">
        <v>555</v>
      </c>
      <c r="I277" t="s">
        <v>18</v>
      </c>
      <c r="J277">
        <f>HOUR(Table2[[#This Row],[Charging_Start_Time]])</f>
        <v>17</v>
      </c>
    </row>
    <row r="278" spans="1:10" x14ac:dyDescent="0.3">
      <c r="A278" t="s">
        <v>302</v>
      </c>
      <c r="B278" t="s">
        <v>30</v>
      </c>
      <c r="C278" s="1">
        <v>45945</v>
      </c>
      <c r="D278" t="s">
        <v>28</v>
      </c>
      <c r="E278" s="3">
        <v>0.7895833333333333</v>
      </c>
      <c r="F278" s="4">
        <v>0.88541666666666663</v>
      </c>
      <c r="G278" s="2">
        <v>17.899999999999999</v>
      </c>
      <c r="H278" s="5">
        <v>179</v>
      </c>
      <c r="I278" t="s">
        <v>18</v>
      </c>
      <c r="J278">
        <f>HOUR(Table2[[#This Row],[Charging_Start_Time]])</f>
        <v>18</v>
      </c>
    </row>
    <row r="279" spans="1:10" x14ac:dyDescent="0.3">
      <c r="A279" t="s">
        <v>303</v>
      </c>
      <c r="B279" t="s">
        <v>37</v>
      </c>
      <c r="C279" s="1">
        <v>45945</v>
      </c>
      <c r="D279" t="s">
        <v>11</v>
      </c>
      <c r="E279" s="3">
        <v>0.62152777777777779</v>
      </c>
      <c r="F279" s="4">
        <v>0.71944444444444444</v>
      </c>
      <c r="G279" s="2">
        <v>44</v>
      </c>
      <c r="H279" s="5">
        <v>440</v>
      </c>
      <c r="I279" t="s">
        <v>12</v>
      </c>
      <c r="J279">
        <f>HOUR(Table2[[#This Row],[Charging_Start_Time]])</f>
        <v>14</v>
      </c>
    </row>
    <row r="280" spans="1:10" x14ac:dyDescent="0.3">
      <c r="A280" t="s">
        <v>304</v>
      </c>
      <c r="B280" t="s">
        <v>37</v>
      </c>
      <c r="C280" s="1">
        <v>45945</v>
      </c>
      <c r="D280" t="s">
        <v>11</v>
      </c>
      <c r="E280" s="3">
        <v>0.69513888888888886</v>
      </c>
      <c r="F280" s="4">
        <v>0.73055555555555551</v>
      </c>
      <c r="G280" s="2">
        <v>96.5</v>
      </c>
      <c r="H280" s="5">
        <v>965</v>
      </c>
      <c r="I280" t="s">
        <v>18</v>
      </c>
      <c r="J280">
        <f>HOUR(Table2[[#This Row],[Charging_Start_Time]])</f>
        <v>16</v>
      </c>
    </row>
    <row r="281" spans="1:10" x14ac:dyDescent="0.3">
      <c r="A281" t="s">
        <v>305</v>
      </c>
      <c r="B281" t="s">
        <v>30</v>
      </c>
      <c r="C281" s="1">
        <v>45945</v>
      </c>
      <c r="D281" t="s">
        <v>15</v>
      </c>
      <c r="E281" s="3">
        <v>0.2590277777777778</v>
      </c>
      <c r="F281" s="4">
        <v>0.34097222222222223</v>
      </c>
      <c r="G281" s="2">
        <v>11.6</v>
      </c>
      <c r="H281" s="5">
        <v>116</v>
      </c>
      <c r="I281" t="s">
        <v>22</v>
      </c>
      <c r="J281">
        <f>HOUR(Table2[[#This Row],[Charging_Start_Time]])</f>
        <v>6</v>
      </c>
    </row>
    <row r="282" spans="1:10" x14ac:dyDescent="0.3">
      <c r="A282" t="s">
        <v>306</v>
      </c>
      <c r="B282" t="s">
        <v>52</v>
      </c>
      <c r="C282" s="1">
        <v>45945</v>
      </c>
      <c r="D282" t="s">
        <v>11</v>
      </c>
      <c r="E282" s="3">
        <v>0.82430555555555551</v>
      </c>
      <c r="F282" s="4">
        <v>0.91666666666666663</v>
      </c>
      <c r="G282" s="2">
        <v>13.3</v>
      </c>
      <c r="H282" s="5">
        <v>133</v>
      </c>
      <c r="I282" t="s">
        <v>22</v>
      </c>
      <c r="J282">
        <f>HOUR(Table2[[#This Row],[Charging_Start_Time]])</f>
        <v>19</v>
      </c>
    </row>
    <row r="283" spans="1:10" x14ac:dyDescent="0.3">
      <c r="A283" t="s">
        <v>307</v>
      </c>
      <c r="B283" t="s">
        <v>40</v>
      </c>
      <c r="C283" s="1">
        <v>45945</v>
      </c>
      <c r="D283" t="s">
        <v>24</v>
      </c>
      <c r="E283" s="3">
        <v>0.80555555555555558</v>
      </c>
      <c r="F283" s="4">
        <v>0.9194444444444444</v>
      </c>
      <c r="G283" s="2">
        <v>75</v>
      </c>
      <c r="H283" s="5">
        <v>750</v>
      </c>
      <c r="I283" t="s">
        <v>12</v>
      </c>
      <c r="J283">
        <f>HOUR(Table2[[#This Row],[Charging_Start_Time]])</f>
        <v>19</v>
      </c>
    </row>
    <row r="284" spans="1:10" x14ac:dyDescent="0.3">
      <c r="A284" t="s">
        <v>308</v>
      </c>
      <c r="B284" t="s">
        <v>30</v>
      </c>
      <c r="C284" s="1">
        <v>45945</v>
      </c>
      <c r="D284" t="s">
        <v>15</v>
      </c>
      <c r="E284" s="3">
        <v>0.66666666666666663</v>
      </c>
      <c r="F284" s="4">
        <v>0.70625000000000004</v>
      </c>
      <c r="G284" s="2">
        <v>35.700000000000003</v>
      </c>
      <c r="H284" s="5">
        <v>357</v>
      </c>
      <c r="I284" t="s">
        <v>12</v>
      </c>
      <c r="J284">
        <f>HOUR(Table2[[#This Row],[Charging_Start_Time]])</f>
        <v>16</v>
      </c>
    </row>
    <row r="285" spans="1:10" x14ac:dyDescent="0.3">
      <c r="A285" t="s">
        <v>309</v>
      </c>
      <c r="B285" t="s">
        <v>30</v>
      </c>
      <c r="C285" s="1">
        <v>45945</v>
      </c>
      <c r="D285" t="s">
        <v>28</v>
      </c>
      <c r="E285" s="3">
        <v>0.59166666666666667</v>
      </c>
      <c r="F285" s="4">
        <v>0.61875000000000002</v>
      </c>
      <c r="G285" s="2">
        <v>75.5</v>
      </c>
      <c r="H285" s="5">
        <v>755</v>
      </c>
      <c r="I285" t="s">
        <v>18</v>
      </c>
      <c r="J285">
        <f>HOUR(Table2[[#This Row],[Charging_Start_Time]])</f>
        <v>14</v>
      </c>
    </row>
    <row r="286" spans="1:10" x14ac:dyDescent="0.3">
      <c r="A286" t="s">
        <v>310</v>
      </c>
      <c r="B286" t="s">
        <v>10</v>
      </c>
      <c r="C286" s="1">
        <v>45945</v>
      </c>
      <c r="D286" t="s">
        <v>15</v>
      </c>
      <c r="E286" s="3">
        <v>0.35</v>
      </c>
      <c r="F286" s="4">
        <v>0.45902777777777776</v>
      </c>
      <c r="G286" s="2">
        <v>15</v>
      </c>
      <c r="H286" s="5">
        <v>150</v>
      </c>
      <c r="I286" t="s">
        <v>22</v>
      </c>
      <c r="J286">
        <f>HOUR(Table2[[#This Row],[Charging_Start_Time]])</f>
        <v>8</v>
      </c>
    </row>
    <row r="287" spans="1:10" x14ac:dyDescent="0.3">
      <c r="A287" t="s">
        <v>311</v>
      </c>
      <c r="B287" t="s">
        <v>52</v>
      </c>
      <c r="C287" s="1">
        <v>45945</v>
      </c>
      <c r="D287" t="s">
        <v>15</v>
      </c>
      <c r="E287" s="3">
        <v>0.59861111111111109</v>
      </c>
      <c r="F287" s="4">
        <v>0.68333333333333335</v>
      </c>
      <c r="G287" s="2">
        <v>26.7</v>
      </c>
      <c r="H287" s="5">
        <v>267</v>
      </c>
      <c r="I287" t="s">
        <v>12</v>
      </c>
      <c r="J287">
        <f>HOUR(Table2[[#This Row],[Charging_Start_Time]])</f>
        <v>14</v>
      </c>
    </row>
    <row r="288" spans="1:10" x14ac:dyDescent="0.3">
      <c r="A288" t="s">
        <v>312</v>
      </c>
      <c r="B288" t="s">
        <v>17</v>
      </c>
      <c r="C288" s="1">
        <v>45945</v>
      </c>
      <c r="D288" t="s">
        <v>11</v>
      </c>
      <c r="E288" s="3">
        <v>0.72013888888888888</v>
      </c>
      <c r="F288" s="4">
        <v>0.84166666666666667</v>
      </c>
      <c r="G288" s="2">
        <v>67.599999999999994</v>
      </c>
      <c r="H288" s="5">
        <v>676</v>
      </c>
      <c r="I288" t="s">
        <v>12</v>
      </c>
      <c r="J288">
        <f>HOUR(Table2[[#This Row],[Charging_Start_Time]])</f>
        <v>17</v>
      </c>
    </row>
    <row r="289" spans="1:10" x14ac:dyDescent="0.3">
      <c r="A289" t="s">
        <v>313</v>
      </c>
      <c r="B289" t="s">
        <v>33</v>
      </c>
      <c r="C289" s="1">
        <v>45945</v>
      </c>
      <c r="D289" t="s">
        <v>24</v>
      </c>
      <c r="E289" s="3">
        <v>0.50972222222222219</v>
      </c>
      <c r="F289" s="4">
        <v>0.54583333333333328</v>
      </c>
      <c r="G289" s="2">
        <v>72.3</v>
      </c>
      <c r="H289" s="5">
        <v>723</v>
      </c>
      <c r="I289" t="s">
        <v>18</v>
      </c>
      <c r="J289">
        <f>HOUR(Table2[[#This Row],[Charging_Start_Time]])</f>
        <v>12</v>
      </c>
    </row>
    <row r="290" spans="1:10" x14ac:dyDescent="0.3">
      <c r="A290" t="s">
        <v>314</v>
      </c>
      <c r="B290" t="s">
        <v>17</v>
      </c>
      <c r="C290" s="1">
        <v>45945</v>
      </c>
      <c r="D290" t="s">
        <v>11</v>
      </c>
      <c r="E290" s="3">
        <v>0.31180555555555556</v>
      </c>
      <c r="F290" s="4">
        <v>0.37916666666666665</v>
      </c>
      <c r="G290" s="2">
        <v>13.4</v>
      </c>
      <c r="H290" s="5">
        <v>134</v>
      </c>
      <c r="I290" t="s">
        <v>22</v>
      </c>
      <c r="J290">
        <f>HOUR(Table2[[#This Row],[Charging_Start_Time]])</f>
        <v>7</v>
      </c>
    </row>
    <row r="291" spans="1:10" x14ac:dyDescent="0.3">
      <c r="A291" t="s">
        <v>315</v>
      </c>
      <c r="B291" t="s">
        <v>20</v>
      </c>
      <c r="C291" s="1">
        <v>45945</v>
      </c>
      <c r="D291" t="s">
        <v>15</v>
      </c>
      <c r="E291" s="3">
        <v>0.30972222222222223</v>
      </c>
      <c r="F291" s="4">
        <v>0.36458333333333331</v>
      </c>
      <c r="G291" s="2">
        <v>27.9</v>
      </c>
      <c r="H291" s="5">
        <v>279</v>
      </c>
      <c r="I291" t="s">
        <v>12</v>
      </c>
      <c r="J291">
        <f>HOUR(Table2[[#This Row],[Charging_Start_Time]])</f>
        <v>7</v>
      </c>
    </row>
    <row r="292" spans="1:10" x14ac:dyDescent="0.3">
      <c r="A292" t="s">
        <v>316</v>
      </c>
      <c r="B292" t="s">
        <v>33</v>
      </c>
      <c r="C292" s="1">
        <v>45945</v>
      </c>
      <c r="D292" t="s">
        <v>15</v>
      </c>
      <c r="E292" s="3">
        <v>0.5131944444444444</v>
      </c>
      <c r="F292" s="4">
        <v>0.55625000000000002</v>
      </c>
      <c r="G292" s="2">
        <v>84.4</v>
      </c>
      <c r="H292" s="5">
        <v>844</v>
      </c>
      <c r="I292" t="s">
        <v>18</v>
      </c>
      <c r="J292">
        <f>HOUR(Table2[[#This Row],[Charging_Start_Time]])</f>
        <v>12</v>
      </c>
    </row>
    <row r="293" spans="1:10" x14ac:dyDescent="0.3">
      <c r="A293" t="s">
        <v>317</v>
      </c>
      <c r="B293" t="s">
        <v>40</v>
      </c>
      <c r="C293" s="1">
        <v>45945</v>
      </c>
      <c r="D293" t="s">
        <v>15</v>
      </c>
      <c r="E293" s="3">
        <v>0.75347222222222221</v>
      </c>
      <c r="F293" s="4">
        <v>0.78888888888888886</v>
      </c>
      <c r="G293" s="2">
        <v>62.8</v>
      </c>
      <c r="H293" s="5">
        <v>628</v>
      </c>
      <c r="I293" t="s">
        <v>18</v>
      </c>
      <c r="J293">
        <f>HOUR(Table2[[#This Row],[Charging_Start_Time]])</f>
        <v>18</v>
      </c>
    </row>
    <row r="294" spans="1:10" x14ac:dyDescent="0.3">
      <c r="A294" t="s">
        <v>318</v>
      </c>
      <c r="B294" t="s">
        <v>17</v>
      </c>
      <c r="C294" s="1">
        <v>45945</v>
      </c>
      <c r="D294" t="s">
        <v>24</v>
      </c>
      <c r="E294" s="3">
        <v>0.77430555555555558</v>
      </c>
      <c r="F294" s="4">
        <v>0.80694444444444446</v>
      </c>
      <c r="G294" s="2">
        <v>80.7</v>
      </c>
      <c r="H294" s="5">
        <v>807</v>
      </c>
      <c r="I294" t="s">
        <v>18</v>
      </c>
      <c r="J294">
        <f>HOUR(Table2[[#This Row],[Charging_Start_Time]])</f>
        <v>18</v>
      </c>
    </row>
    <row r="295" spans="1:10" x14ac:dyDescent="0.3">
      <c r="A295" t="s">
        <v>319</v>
      </c>
      <c r="B295" t="s">
        <v>14</v>
      </c>
      <c r="C295" s="1">
        <v>45945</v>
      </c>
      <c r="D295" t="s">
        <v>11</v>
      </c>
      <c r="E295" s="3">
        <v>0.81874999999999998</v>
      </c>
      <c r="F295" s="4">
        <v>0.88541666666666663</v>
      </c>
      <c r="G295" s="2">
        <v>66.599999999999994</v>
      </c>
      <c r="H295" s="5">
        <v>666</v>
      </c>
      <c r="I295" t="s">
        <v>22</v>
      </c>
      <c r="J295">
        <f>HOUR(Table2[[#This Row],[Charging_Start_Time]])</f>
        <v>19</v>
      </c>
    </row>
    <row r="296" spans="1:10" x14ac:dyDescent="0.3">
      <c r="A296" t="s">
        <v>320</v>
      </c>
      <c r="B296" t="s">
        <v>10</v>
      </c>
      <c r="C296" s="1">
        <v>45945</v>
      </c>
      <c r="D296" t="s">
        <v>15</v>
      </c>
      <c r="E296" s="3">
        <v>0.79236111111111107</v>
      </c>
      <c r="F296" s="4">
        <v>0.81319444444444444</v>
      </c>
      <c r="G296" s="2">
        <v>81.900000000000006</v>
      </c>
      <c r="H296" s="5">
        <v>819</v>
      </c>
      <c r="I296" t="s">
        <v>12</v>
      </c>
      <c r="J296">
        <f>HOUR(Table2[[#This Row],[Charging_Start_Time]])</f>
        <v>19</v>
      </c>
    </row>
    <row r="297" spans="1:10" x14ac:dyDescent="0.3">
      <c r="A297" t="s">
        <v>321</v>
      </c>
      <c r="B297" t="s">
        <v>30</v>
      </c>
      <c r="C297" s="1">
        <v>45945</v>
      </c>
      <c r="D297" t="s">
        <v>28</v>
      </c>
      <c r="E297" s="3">
        <v>0.63958333333333328</v>
      </c>
      <c r="F297" s="4">
        <v>0.72777777777777775</v>
      </c>
      <c r="G297" s="2">
        <v>85.4</v>
      </c>
      <c r="H297" s="5">
        <v>854</v>
      </c>
      <c r="I297" t="s">
        <v>18</v>
      </c>
      <c r="J297">
        <f>HOUR(Table2[[#This Row],[Charging_Start_Time]])</f>
        <v>15</v>
      </c>
    </row>
    <row r="298" spans="1:10" x14ac:dyDescent="0.3">
      <c r="A298" t="s">
        <v>322</v>
      </c>
      <c r="B298" t="s">
        <v>30</v>
      </c>
      <c r="C298" s="1">
        <v>45945</v>
      </c>
      <c r="D298" t="s">
        <v>11</v>
      </c>
      <c r="E298" s="3">
        <v>0.61527777777777781</v>
      </c>
      <c r="F298" s="4">
        <v>0.72916666666666663</v>
      </c>
      <c r="G298" s="2">
        <v>89.4</v>
      </c>
      <c r="H298" s="5">
        <v>894</v>
      </c>
      <c r="I298" t="s">
        <v>18</v>
      </c>
      <c r="J298">
        <f>HOUR(Table2[[#This Row],[Charging_Start_Time]])</f>
        <v>14</v>
      </c>
    </row>
    <row r="299" spans="1:10" x14ac:dyDescent="0.3">
      <c r="A299" t="s">
        <v>323</v>
      </c>
      <c r="B299" t="s">
        <v>33</v>
      </c>
      <c r="C299" s="1">
        <v>45945</v>
      </c>
      <c r="D299" t="s">
        <v>24</v>
      </c>
      <c r="E299" s="3">
        <v>0.48333333333333334</v>
      </c>
      <c r="F299" s="4">
        <v>0.57291666666666663</v>
      </c>
      <c r="G299" s="2">
        <v>47.4</v>
      </c>
      <c r="H299" s="5">
        <v>474</v>
      </c>
      <c r="I299" t="s">
        <v>12</v>
      </c>
      <c r="J299">
        <f>HOUR(Table2[[#This Row],[Charging_Start_Time]])</f>
        <v>11</v>
      </c>
    </row>
    <row r="300" spans="1:10" x14ac:dyDescent="0.3">
      <c r="A300" t="s">
        <v>324</v>
      </c>
      <c r="B300" t="s">
        <v>26</v>
      </c>
      <c r="C300" s="1">
        <v>45945</v>
      </c>
      <c r="D300" t="s">
        <v>15</v>
      </c>
      <c r="E300" s="3">
        <v>0.48541666666666666</v>
      </c>
      <c r="F300" s="4">
        <v>0.52708333333333335</v>
      </c>
      <c r="G300" s="2">
        <v>72.900000000000006</v>
      </c>
      <c r="H300" s="5">
        <v>729</v>
      </c>
      <c r="I300" t="s">
        <v>12</v>
      </c>
      <c r="J300">
        <f>HOUR(Table2[[#This Row],[Charging_Start_Time]])</f>
        <v>11</v>
      </c>
    </row>
    <row r="301" spans="1:10" x14ac:dyDescent="0.3">
      <c r="A301" t="s">
        <v>325</v>
      </c>
      <c r="B301" t="s">
        <v>52</v>
      </c>
      <c r="C301" s="1">
        <v>45945</v>
      </c>
      <c r="D301" t="s">
        <v>11</v>
      </c>
      <c r="E301" s="3">
        <v>0.45208333333333334</v>
      </c>
      <c r="F301" s="4">
        <v>0.48958333333333331</v>
      </c>
      <c r="G301" s="2">
        <v>75.900000000000006</v>
      </c>
      <c r="H301" s="5">
        <v>759</v>
      </c>
      <c r="I301" t="s">
        <v>22</v>
      </c>
      <c r="J301">
        <f>HOUR(Table2[[#This Row],[Charging_Start_Time]])</f>
        <v>10</v>
      </c>
    </row>
    <row r="302" spans="1:10" x14ac:dyDescent="0.3">
      <c r="A302" t="s">
        <v>326</v>
      </c>
      <c r="B302" t="s">
        <v>30</v>
      </c>
      <c r="C302" s="1">
        <v>45945</v>
      </c>
      <c r="D302" t="s">
        <v>24</v>
      </c>
      <c r="E302" s="3">
        <v>0.62569444444444444</v>
      </c>
      <c r="F302" s="4">
        <v>0.68263888888888891</v>
      </c>
      <c r="G302" s="2">
        <v>45.2</v>
      </c>
      <c r="H302" s="5">
        <v>452</v>
      </c>
      <c r="I302" t="s">
        <v>22</v>
      </c>
      <c r="J302">
        <f>HOUR(Table2[[#This Row],[Charging_Start_Time]])</f>
        <v>15</v>
      </c>
    </row>
    <row r="303" spans="1:10" x14ac:dyDescent="0.3">
      <c r="A303" t="s">
        <v>327</v>
      </c>
      <c r="B303" t="s">
        <v>52</v>
      </c>
      <c r="C303" s="1">
        <v>45945</v>
      </c>
      <c r="D303" t="s">
        <v>28</v>
      </c>
      <c r="E303" s="3">
        <v>0.56388888888888888</v>
      </c>
      <c r="F303" s="4">
        <v>0.59791666666666665</v>
      </c>
      <c r="G303" s="2">
        <v>98.9</v>
      </c>
      <c r="H303" s="5">
        <v>989</v>
      </c>
      <c r="I303" t="s">
        <v>22</v>
      </c>
      <c r="J303">
        <f>HOUR(Table2[[#This Row],[Charging_Start_Time]])</f>
        <v>13</v>
      </c>
    </row>
    <row r="304" spans="1:10" x14ac:dyDescent="0.3">
      <c r="A304" t="s">
        <v>328</v>
      </c>
      <c r="B304" t="s">
        <v>26</v>
      </c>
      <c r="C304" s="1">
        <v>45945</v>
      </c>
      <c r="D304" t="s">
        <v>11</v>
      </c>
      <c r="E304" s="3">
        <v>0.64444444444444449</v>
      </c>
      <c r="F304" s="4">
        <v>0.72152777777777777</v>
      </c>
      <c r="G304" s="2">
        <v>50.1</v>
      </c>
      <c r="H304" s="5">
        <v>501</v>
      </c>
      <c r="I304" t="s">
        <v>22</v>
      </c>
      <c r="J304">
        <f>HOUR(Table2[[#This Row],[Charging_Start_Time]])</f>
        <v>15</v>
      </c>
    </row>
    <row r="305" spans="1:10" x14ac:dyDescent="0.3">
      <c r="A305" t="s">
        <v>329</v>
      </c>
      <c r="B305" t="s">
        <v>30</v>
      </c>
      <c r="C305" s="1">
        <v>45945</v>
      </c>
      <c r="D305" t="s">
        <v>24</v>
      </c>
      <c r="E305" s="3">
        <v>0.53541666666666665</v>
      </c>
      <c r="F305" s="4">
        <v>0.60833333333333328</v>
      </c>
      <c r="G305" s="2">
        <v>32.1</v>
      </c>
      <c r="H305" s="5">
        <v>321</v>
      </c>
      <c r="I305" t="s">
        <v>22</v>
      </c>
      <c r="J305">
        <f>HOUR(Table2[[#This Row],[Charging_Start_Time]])</f>
        <v>12</v>
      </c>
    </row>
    <row r="306" spans="1:10" x14ac:dyDescent="0.3">
      <c r="A306" t="s">
        <v>330</v>
      </c>
      <c r="B306" t="s">
        <v>40</v>
      </c>
      <c r="C306" s="1">
        <v>45945</v>
      </c>
      <c r="D306" t="s">
        <v>28</v>
      </c>
      <c r="E306" s="3">
        <v>0.68125000000000002</v>
      </c>
      <c r="F306" s="4">
        <v>0.7104166666666667</v>
      </c>
      <c r="G306" s="2">
        <v>24.4</v>
      </c>
      <c r="H306" s="5">
        <v>244</v>
      </c>
      <c r="I306" t="s">
        <v>22</v>
      </c>
      <c r="J306">
        <f>HOUR(Table2[[#This Row],[Charging_Start_Time]])</f>
        <v>16</v>
      </c>
    </row>
    <row r="307" spans="1:10" x14ac:dyDescent="0.3">
      <c r="A307" t="s">
        <v>331</v>
      </c>
      <c r="B307" t="s">
        <v>10</v>
      </c>
      <c r="C307" s="1">
        <v>45945</v>
      </c>
      <c r="D307" t="s">
        <v>28</v>
      </c>
      <c r="E307" s="3">
        <v>0.84236111111111112</v>
      </c>
      <c r="F307" s="4">
        <v>0.95833333333333337</v>
      </c>
      <c r="G307" s="2">
        <v>75</v>
      </c>
      <c r="H307" s="5">
        <v>750</v>
      </c>
      <c r="I307" t="s">
        <v>18</v>
      </c>
      <c r="J307">
        <f>HOUR(Table2[[#This Row],[Charging_Start_Time]])</f>
        <v>20</v>
      </c>
    </row>
    <row r="308" spans="1:10" x14ac:dyDescent="0.3">
      <c r="A308" t="s">
        <v>332</v>
      </c>
      <c r="B308" t="s">
        <v>26</v>
      </c>
      <c r="C308" s="1">
        <v>45945</v>
      </c>
      <c r="D308" t="s">
        <v>28</v>
      </c>
      <c r="E308" s="3">
        <v>0.28402777777777777</v>
      </c>
      <c r="F308" s="4">
        <v>0.38263888888888886</v>
      </c>
      <c r="G308" s="2">
        <v>30</v>
      </c>
      <c r="H308" s="5">
        <v>300</v>
      </c>
      <c r="I308" t="s">
        <v>22</v>
      </c>
      <c r="J308">
        <f>HOUR(Table2[[#This Row],[Charging_Start_Time]])</f>
        <v>6</v>
      </c>
    </row>
    <row r="309" spans="1:10" x14ac:dyDescent="0.3">
      <c r="A309" t="s">
        <v>333</v>
      </c>
      <c r="B309" t="s">
        <v>52</v>
      </c>
      <c r="C309" s="1">
        <v>45945</v>
      </c>
      <c r="D309" t="s">
        <v>24</v>
      </c>
      <c r="E309" s="3">
        <v>0.74722222222222223</v>
      </c>
      <c r="F309" s="4">
        <v>0.85138888888888886</v>
      </c>
      <c r="G309" s="2">
        <v>7</v>
      </c>
      <c r="H309" s="5">
        <v>70</v>
      </c>
      <c r="I309" t="s">
        <v>18</v>
      </c>
      <c r="J309">
        <f>HOUR(Table2[[#This Row],[Charging_Start_Time]])</f>
        <v>17</v>
      </c>
    </row>
    <row r="310" spans="1:10" x14ac:dyDescent="0.3">
      <c r="A310" t="s">
        <v>334</v>
      </c>
      <c r="B310" t="s">
        <v>37</v>
      </c>
      <c r="C310" s="1">
        <v>45945</v>
      </c>
      <c r="D310" t="s">
        <v>15</v>
      </c>
      <c r="E310" s="3">
        <v>0.40625</v>
      </c>
      <c r="F310" s="4">
        <v>0.43611111111111112</v>
      </c>
      <c r="G310" s="2">
        <v>44.4</v>
      </c>
      <c r="H310" s="5">
        <v>444</v>
      </c>
      <c r="I310" t="s">
        <v>18</v>
      </c>
      <c r="J310">
        <f>HOUR(Table2[[#This Row],[Charging_Start_Time]])</f>
        <v>9</v>
      </c>
    </row>
    <row r="311" spans="1:10" x14ac:dyDescent="0.3">
      <c r="A311" t="s">
        <v>335</v>
      </c>
      <c r="B311" t="s">
        <v>40</v>
      </c>
      <c r="C311" s="1">
        <v>45945</v>
      </c>
      <c r="D311" t="s">
        <v>11</v>
      </c>
      <c r="E311" s="3">
        <v>0.74791666666666667</v>
      </c>
      <c r="F311" s="4">
        <v>0.82499999999999996</v>
      </c>
      <c r="G311" s="2">
        <v>62.8</v>
      </c>
      <c r="H311" s="5">
        <v>628</v>
      </c>
      <c r="I311" t="s">
        <v>18</v>
      </c>
      <c r="J311">
        <f>HOUR(Table2[[#This Row],[Charging_Start_Time]])</f>
        <v>17</v>
      </c>
    </row>
    <row r="312" spans="1:10" x14ac:dyDescent="0.3">
      <c r="A312" t="s">
        <v>336</v>
      </c>
      <c r="B312" t="s">
        <v>17</v>
      </c>
      <c r="C312" s="1">
        <v>45945</v>
      </c>
      <c r="D312" t="s">
        <v>11</v>
      </c>
      <c r="E312" s="3">
        <v>0.48125000000000001</v>
      </c>
      <c r="F312" s="4">
        <v>0.59166666666666667</v>
      </c>
      <c r="G312" s="2">
        <v>37.5</v>
      </c>
      <c r="H312" s="5">
        <v>375</v>
      </c>
      <c r="I312" t="s">
        <v>18</v>
      </c>
      <c r="J312">
        <f>HOUR(Table2[[#This Row],[Charging_Start_Time]])</f>
        <v>11</v>
      </c>
    </row>
    <row r="313" spans="1:10" x14ac:dyDescent="0.3">
      <c r="A313" t="s">
        <v>337</v>
      </c>
      <c r="B313" t="s">
        <v>40</v>
      </c>
      <c r="C313" s="1">
        <v>45945</v>
      </c>
      <c r="D313" t="s">
        <v>15</v>
      </c>
      <c r="E313" s="3">
        <v>0.76597222222222228</v>
      </c>
      <c r="F313" s="4">
        <v>0.86041666666666672</v>
      </c>
      <c r="G313" s="2">
        <v>82.8</v>
      </c>
      <c r="H313" s="5">
        <v>828</v>
      </c>
      <c r="I313" t="s">
        <v>22</v>
      </c>
      <c r="J313">
        <f>HOUR(Table2[[#This Row],[Charging_Start_Time]])</f>
        <v>18</v>
      </c>
    </row>
    <row r="314" spans="1:10" x14ac:dyDescent="0.3">
      <c r="A314" t="s">
        <v>338</v>
      </c>
      <c r="B314" t="s">
        <v>26</v>
      </c>
      <c r="C314" s="1">
        <v>45945</v>
      </c>
      <c r="D314" t="s">
        <v>15</v>
      </c>
      <c r="E314" s="3">
        <v>0.29930555555555555</v>
      </c>
      <c r="F314" s="4">
        <v>0.37222222222222223</v>
      </c>
      <c r="G314" s="2">
        <v>99.2</v>
      </c>
      <c r="H314" s="5">
        <v>992</v>
      </c>
      <c r="I314" t="s">
        <v>12</v>
      </c>
      <c r="J314">
        <f>HOUR(Table2[[#This Row],[Charging_Start_Time]])</f>
        <v>7</v>
      </c>
    </row>
    <row r="315" spans="1:10" x14ac:dyDescent="0.3">
      <c r="A315" t="s">
        <v>339</v>
      </c>
      <c r="B315" t="s">
        <v>14</v>
      </c>
      <c r="C315" s="1">
        <v>45945</v>
      </c>
      <c r="D315" t="s">
        <v>28</v>
      </c>
      <c r="E315" s="3">
        <v>0.70277777777777772</v>
      </c>
      <c r="F315" s="4">
        <v>0.81597222222222221</v>
      </c>
      <c r="G315" s="2">
        <v>87.6</v>
      </c>
      <c r="H315" s="5">
        <v>876</v>
      </c>
      <c r="I315" t="s">
        <v>22</v>
      </c>
      <c r="J315">
        <f>HOUR(Table2[[#This Row],[Charging_Start_Time]])</f>
        <v>16</v>
      </c>
    </row>
    <row r="316" spans="1:10" x14ac:dyDescent="0.3">
      <c r="A316" t="s">
        <v>340</v>
      </c>
      <c r="B316" t="s">
        <v>40</v>
      </c>
      <c r="C316" s="1">
        <v>45945</v>
      </c>
      <c r="D316" t="s">
        <v>15</v>
      </c>
      <c r="E316" s="3">
        <v>0.83750000000000002</v>
      </c>
      <c r="F316" s="4">
        <v>0.95416666666666672</v>
      </c>
      <c r="G316" s="2">
        <v>51.2</v>
      </c>
      <c r="H316" s="5">
        <v>512</v>
      </c>
      <c r="I316" t="s">
        <v>18</v>
      </c>
      <c r="J316">
        <f>HOUR(Table2[[#This Row],[Charging_Start_Time]])</f>
        <v>20</v>
      </c>
    </row>
    <row r="317" spans="1:10" x14ac:dyDescent="0.3">
      <c r="A317" t="s">
        <v>341</v>
      </c>
      <c r="B317" t="s">
        <v>26</v>
      </c>
      <c r="C317" s="1">
        <v>45945</v>
      </c>
      <c r="D317" t="s">
        <v>11</v>
      </c>
      <c r="E317" s="3">
        <v>0.36249999999999999</v>
      </c>
      <c r="F317" s="4">
        <v>0.43541666666666667</v>
      </c>
      <c r="G317" s="2">
        <v>88</v>
      </c>
      <c r="H317" s="5">
        <v>880</v>
      </c>
      <c r="I317" t="s">
        <v>22</v>
      </c>
      <c r="J317">
        <f>HOUR(Table2[[#This Row],[Charging_Start_Time]])</f>
        <v>8</v>
      </c>
    </row>
    <row r="318" spans="1:10" x14ac:dyDescent="0.3">
      <c r="A318" t="s">
        <v>342</v>
      </c>
      <c r="B318" t="s">
        <v>20</v>
      </c>
      <c r="C318" s="1">
        <v>45945</v>
      </c>
      <c r="D318" t="s">
        <v>11</v>
      </c>
      <c r="E318" s="3">
        <v>0.64861111111111114</v>
      </c>
      <c r="F318" s="4">
        <v>0.73958333333333337</v>
      </c>
      <c r="G318" s="2">
        <v>25.8</v>
      </c>
      <c r="H318" s="5">
        <v>258</v>
      </c>
      <c r="I318" t="s">
        <v>12</v>
      </c>
      <c r="J318">
        <f>HOUR(Table2[[#This Row],[Charging_Start_Time]])</f>
        <v>15</v>
      </c>
    </row>
    <row r="319" spans="1:10" x14ac:dyDescent="0.3">
      <c r="A319" t="s">
        <v>343</v>
      </c>
      <c r="B319" t="s">
        <v>26</v>
      </c>
      <c r="C319" s="1">
        <v>45945</v>
      </c>
      <c r="D319" t="s">
        <v>24</v>
      </c>
      <c r="E319" s="3">
        <v>0.67986111111111114</v>
      </c>
      <c r="F319" s="4">
        <v>0.73958333333333337</v>
      </c>
      <c r="G319" s="2">
        <v>99.5</v>
      </c>
      <c r="H319" s="5">
        <v>995</v>
      </c>
      <c r="I319" t="s">
        <v>12</v>
      </c>
      <c r="J319">
        <f>HOUR(Table2[[#This Row],[Charging_Start_Time]])</f>
        <v>16</v>
      </c>
    </row>
    <row r="320" spans="1:10" x14ac:dyDescent="0.3">
      <c r="A320" t="s">
        <v>344</v>
      </c>
      <c r="B320" t="s">
        <v>40</v>
      </c>
      <c r="C320" s="1">
        <v>45945</v>
      </c>
      <c r="D320" t="s">
        <v>11</v>
      </c>
      <c r="E320" s="3">
        <v>0.33055555555555555</v>
      </c>
      <c r="F320" s="4">
        <v>0.37777777777777777</v>
      </c>
      <c r="G320" s="2">
        <v>65.8</v>
      </c>
      <c r="H320" s="5">
        <v>658</v>
      </c>
      <c r="I320" t="s">
        <v>18</v>
      </c>
      <c r="J320">
        <f>HOUR(Table2[[#This Row],[Charging_Start_Time]])</f>
        <v>7</v>
      </c>
    </row>
    <row r="321" spans="1:10" x14ac:dyDescent="0.3">
      <c r="A321" t="s">
        <v>345</v>
      </c>
      <c r="B321" t="s">
        <v>30</v>
      </c>
      <c r="C321" s="1">
        <v>45945</v>
      </c>
      <c r="D321" t="s">
        <v>24</v>
      </c>
      <c r="E321" s="3">
        <v>0.43402777777777779</v>
      </c>
      <c r="F321" s="4">
        <v>0.52500000000000002</v>
      </c>
      <c r="G321" s="2">
        <v>72.400000000000006</v>
      </c>
      <c r="H321" s="5">
        <v>724</v>
      </c>
      <c r="I321" t="s">
        <v>12</v>
      </c>
      <c r="J321">
        <f>HOUR(Table2[[#This Row],[Charging_Start_Time]])</f>
        <v>10</v>
      </c>
    </row>
    <row r="322" spans="1:10" x14ac:dyDescent="0.3">
      <c r="A322" t="s">
        <v>346</v>
      </c>
      <c r="B322" t="s">
        <v>10</v>
      </c>
      <c r="C322" s="1">
        <v>45945</v>
      </c>
      <c r="D322" t="s">
        <v>28</v>
      </c>
      <c r="E322" s="3">
        <v>0.37777777777777777</v>
      </c>
      <c r="F322" s="4">
        <v>0.41249999999999998</v>
      </c>
      <c r="G322" s="2">
        <v>93.6</v>
      </c>
      <c r="H322" s="5">
        <v>936</v>
      </c>
      <c r="I322" t="s">
        <v>18</v>
      </c>
      <c r="J322">
        <f>HOUR(Table2[[#This Row],[Charging_Start_Time]])</f>
        <v>9</v>
      </c>
    </row>
    <row r="323" spans="1:10" x14ac:dyDescent="0.3">
      <c r="A323" t="s">
        <v>347</v>
      </c>
      <c r="B323" t="s">
        <v>30</v>
      </c>
      <c r="C323" s="1">
        <v>45945</v>
      </c>
      <c r="D323" t="s">
        <v>11</v>
      </c>
      <c r="E323" s="3">
        <v>0.72499999999999998</v>
      </c>
      <c r="F323" s="4">
        <v>0.83888888888888891</v>
      </c>
      <c r="G323" s="2">
        <v>45.1</v>
      </c>
      <c r="H323" s="5">
        <v>451</v>
      </c>
      <c r="I323" t="s">
        <v>22</v>
      </c>
      <c r="J323">
        <f>HOUR(Table2[[#This Row],[Charging_Start_Time]])</f>
        <v>17</v>
      </c>
    </row>
    <row r="324" spans="1:10" x14ac:dyDescent="0.3">
      <c r="A324" t="s">
        <v>348</v>
      </c>
      <c r="B324" t="s">
        <v>40</v>
      </c>
      <c r="C324" s="1">
        <v>45945</v>
      </c>
      <c r="D324" t="s">
        <v>11</v>
      </c>
      <c r="E324" s="3">
        <v>0.47013888888888888</v>
      </c>
      <c r="F324" s="4">
        <v>0.5395833333333333</v>
      </c>
      <c r="G324" s="2">
        <v>64.900000000000006</v>
      </c>
      <c r="H324" s="5">
        <v>649</v>
      </c>
      <c r="I324" t="s">
        <v>12</v>
      </c>
      <c r="J324">
        <f>HOUR(Table2[[#This Row],[Charging_Start_Time]])</f>
        <v>11</v>
      </c>
    </row>
    <row r="325" spans="1:10" x14ac:dyDescent="0.3">
      <c r="A325" t="s">
        <v>349</v>
      </c>
      <c r="B325" t="s">
        <v>10</v>
      </c>
      <c r="C325" s="1">
        <v>45945</v>
      </c>
      <c r="D325" t="s">
        <v>11</v>
      </c>
      <c r="E325" s="3">
        <v>0.42777777777777776</v>
      </c>
      <c r="F325" s="4">
        <v>0.45624999999999999</v>
      </c>
      <c r="G325" s="2">
        <v>11.1</v>
      </c>
      <c r="H325" s="5">
        <v>111</v>
      </c>
      <c r="I325" t="s">
        <v>18</v>
      </c>
      <c r="J325">
        <f>HOUR(Table2[[#This Row],[Charging_Start_Time]])</f>
        <v>10</v>
      </c>
    </row>
    <row r="326" spans="1:10" x14ac:dyDescent="0.3">
      <c r="A326" t="s">
        <v>350</v>
      </c>
      <c r="B326" t="s">
        <v>52</v>
      </c>
      <c r="C326" s="1">
        <v>45945</v>
      </c>
      <c r="D326" t="s">
        <v>15</v>
      </c>
      <c r="E326" s="3">
        <v>0.77361111111111114</v>
      </c>
      <c r="F326" s="4">
        <v>0.80069444444444449</v>
      </c>
      <c r="G326" s="2">
        <v>19</v>
      </c>
      <c r="H326" s="5">
        <v>190</v>
      </c>
      <c r="I326" t="s">
        <v>22</v>
      </c>
      <c r="J326">
        <f>HOUR(Table2[[#This Row],[Charging_Start_Time]])</f>
        <v>18</v>
      </c>
    </row>
    <row r="327" spans="1:10" x14ac:dyDescent="0.3">
      <c r="A327" t="s">
        <v>351</v>
      </c>
      <c r="B327" t="s">
        <v>40</v>
      </c>
      <c r="C327" s="1">
        <v>45945</v>
      </c>
      <c r="D327" t="s">
        <v>11</v>
      </c>
      <c r="E327" s="3">
        <v>0.61111111111111116</v>
      </c>
      <c r="F327" s="4">
        <v>0.68055555555555558</v>
      </c>
      <c r="G327" s="2">
        <v>37.799999999999997</v>
      </c>
      <c r="H327" s="5">
        <v>378</v>
      </c>
      <c r="I327" t="s">
        <v>22</v>
      </c>
      <c r="J327">
        <f>HOUR(Table2[[#This Row],[Charging_Start_Time]])</f>
        <v>14</v>
      </c>
    </row>
    <row r="328" spans="1:10" x14ac:dyDescent="0.3">
      <c r="A328" t="s">
        <v>352</v>
      </c>
      <c r="B328" t="s">
        <v>40</v>
      </c>
      <c r="C328" s="1">
        <v>45945</v>
      </c>
      <c r="D328" t="s">
        <v>15</v>
      </c>
      <c r="E328" s="3">
        <v>0.28055555555555556</v>
      </c>
      <c r="F328" s="4">
        <v>0.3215277777777778</v>
      </c>
      <c r="G328" s="2">
        <v>34.700000000000003</v>
      </c>
      <c r="H328" s="5">
        <v>347</v>
      </c>
      <c r="I328" t="s">
        <v>22</v>
      </c>
      <c r="J328">
        <f>HOUR(Table2[[#This Row],[Charging_Start_Time]])</f>
        <v>6</v>
      </c>
    </row>
    <row r="329" spans="1:10" x14ac:dyDescent="0.3">
      <c r="A329" t="s">
        <v>353</v>
      </c>
      <c r="B329" t="s">
        <v>30</v>
      </c>
      <c r="C329" s="1">
        <v>45945</v>
      </c>
      <c r="D329" t="s">
        <v>15</v>
      </c>
      <c r="E329" s="3">
        <v>0.40902777777777777</v>
      </c>
      <c r="F329" s="4">
        <v>0.45763888888888887</v>
      </c>
      <c r="G329" s="2">
        <v>43.8</v>
      </c>
      <c r="H329" s="5">
        <v>438</v>
      </c>
      <c r="I329" t="s">
        <v>18</v>
      </c>
      <c r="J329">
        <f>HOUR(Table2[[#This Row],[Charging_Start_Time]])</f>
        <v>9</v>
      </c>
    </row>
    <row r="330" spans="1:10" x14ac:dyDescent="0.3">
      <c r="A330" t="s">
        <v>354</v>
      </c>
      <c r="B330" t="s">
        <v>20</v>
      </c>
      <c r="C330" s="1">
        <v>45945</v>
      </c>
      <c r="D330" t="s">
        <v>28</v>
      </c>
      <c r="E330" s="3">
        <v>0.2638888888888889</v>
      </c>
      <c r="F330" s="4">
        <v>0.31805555555555554</v>
      </c>
      <c r="G330" s="2">
        <v>65.3</v>
      </c>
      <c r="H330" s="5">
        <v>653</v>
      </c>
      <c r="I330" t="s">
        <v>18</v>
      </c>
      <c r="J330">
        <f>HOUR(Table2[[#This Row],[Charging_Start_Time]])</f>
        <v>6</v>
      </c>
    </row>
    <row r="331" spans="1:10" x14ac:dyDescent="0.3">
      <c r="A331" t="s">
        <v>355</v>
      </c>
      <c r="B331" t="s">
        <v>10</v>
      </c>
      <c r="C331" s="1">
        <v>45945</v>
      </c>
      <c r="D331" t="s">
        <v>15</v>
      </c>
      <c r="E331" s="3">
        <v>0.27361111111111114</v>
      </c>
      <c r="F331" s="4">
        <v>0.33611111111111114</v>
      </c>
      <c r="G331" s="2">
        <v>44.2</v>
      </c>
      <c r="H331" s="5">
        <v>442</v>
      </c>
      <c r="I331" t="s">
        <v>12</v>
      </c>
      <c r="J331">
        <f>HOUR(Table2[[#This Row],[Charging_Start_Time]])</f>
        <v>6</v>
      </c>
    </row>
    <row r="332" spans="1:10" x14ac:dyDescent="0.3">
      <c r="A332" t="s">
        <v>356</v>
      </c>
      <c r="B332" t="s">
        <v>14</v>
      </c>
      <c r="C332" s="1">
        <v>45945</v>
      </c>
      <c r="D332" t="s">
        <v>24</v>
      </c>
      <c r="E332" s="3">
        <v>0.34305555555555556</v>
      </c>
      <c r="F332" s="4">
        <v>0.41666666666666669</v>
      </c>
      <c r="G332" s="2">
        <v>78.099999999999994</v>
      </c>
      <c r="H332" s="5">
        <v>781</v>
      </c>
      <c r="I332" t="s">
        <v>12</v>
      </c>
      <c r="J332">
        <f>HOUR(Table2[[#This Row],[Charging_Start_Time]])</f>
        <v>8</v>
      </c>
    </row>
    <row r="333" spans="1:10" x14ac:dyDescent="0.3">
      <c r="A333" t="s">
        <v>357</v>
      </c>
      <c r="B333" t="s">
        <v>10</v>
      </c>
      <c r="C333" s="1">
        <v>45945</v>
      </c>
      <c r="D333" t="s">
        <v>15</v>
      </c>
      <c r="E333" s="3">
        <v>0.68402777777777779</v>
      </c>
      <c r="F333" s="4">
        <v>0.73888888888888893</v>
      </c>
      <c r="G333" s="2">
        <v>89.3</v>
      </c>
      <c r="H333" s="5">
        <v>893</v>
      </c>
      <c r="I333" t="s">
        <v>18</v>
      </c>
      <c r="J333">
        <f>HOUR(Table2[[#This Row],[Charging_Start_Time]])</f>
        <v>16</v>
      </c>
    </row>
    <row r="334" spans="1:10" x14ac:dyDescent="0.3">
      <c r="A334" t="s">
        <v>358</v>
      </c>
      <c r="B334" t="s">
        <v>30</v>
      </c>
      <c r="C334" s="1">
        <v>45945</v>
      </c>
      <c r="D334" t="s">
        <v>28</v>
      </c>
      <c r="E334" s="3">
        <v>0.44583333333333336</v>
      </c>
      <c r="F334" s="4">
        <v>0.56111111111111112</v>
      </c>
      <c r="G334" s="2">
        <v>30.3</v>
      </c>
      <c r="H334" s="5">
        <v>303</v>
      </c>
      <c r="I334" t="s">
        <v>12</v>
      </c>
      <c r="J334">
        <f>HOUR(Table2[[#This Row],[Charging_Start_Time]])</f>
        <v>10</v>
      </c>
    </row>
    <row r="335" spans="1:10" x14ac:dyDescent="0.3">
      <c r="A335" t="s">
        <v>359</v>
      </c>
      <c r="B335" t="s">
        <v>14</v>
      </c>
      <c r="C335" s="1">
        <v>45945</v>
      </c>
      <c r="D335" t="s">
        <v>28</v>
      </c>
      <c r="E335" s="3">
        <v>0.62708333333333333</v>
      </c>
      <c r="F335" s="4">
        <v>0.72222222222222221</v>
      </c>
      <c r="G335" s="2">
        <v>53.1</v>
      </c>
      <c r="H335" s="5">
        <v>531</v>
      </c>
      <c r="I335" t="s">
        <v>22</v>
      </c>
      <c r="J335">
        <f>HOUR(Table2[[#This Row],[Charging_Start_Time]])</f>
        <v>15</v>
      </c>
    </row>
    <row r="336" spans="1:10" x14ac:dyDescent="0.3">
      <c r="A336" t="s">
        <v>360</v>
      </c>
      <c r="B336" t="s">
        <v>30</v>
      </c>
      <c r="C336" s="1">
        <v>45945</v>
      </c>
      <c r="D336" t="s">
        <v>28</v>
      </c>
      <c r="E336" s="3">
        <v>0.86250000000000004</v>
      </c>
      <c r="F336" s="4">
        <v>0.96527777777777779</v>
      </c>
      <c r="G336" s="2">
        <v>90.1</v>
      </c>
      <c r="H336" s="5">
        <v>901</v>
      </c>
      <c r="I336" t="s">
        <v>18</v>
      </c>
      <c r="J336">
        <f>HOUR(Table2[[#This Row],[Charging_Start_Time]])</f>
        <v>20</v>
      </c>
    </row>
    <row r="337" spans="1:10" x14ac:dyDescent="0.3">
      <c r="A337" t="s">
        <v>361</v>
      </c>
      <c r="B337" t="s">
        <v>20</v>
      </c>
      <c r="C337" s="1">
        <v>45945</v>
      </c>
      <c r="D337" t="s">
        <v>24</v>
      </c>
      <c r="E337" s="3">
        <v>0.74513888888888891</v>
      </c>
      <c r="F337" s="4">
        <v>0.86805555555555558</v>
      </c>
      <c r="G337" s="2">
        <v>76.900000000000006</v>
      </c>
      <c r="H337" s="5">
        <v>769</v>
      </c>
      <c r="I337" t="s">
        <v>12</v>
      </c>
      <c r="J337">
        <f>HOUR(Table2[[#This Row],[Charging_Start_Time]])</f>
        <v>17</v>
      </c>
    </row>
    <row r="338" spans="1:10" x14ac:dyDescent="0.3">
      <c r="A338" t="s">
        <v>362</v>
      </c>
      <c r="B338" t="s">
        <v>52</v>
      </c>
      <c r="C338" s="1">
        <v>45945</v>
      </c>
      <c r="D338" t="s">
        <v>11</v>
      </c>
      <c r="E338" s="3">
        <v>0.64722222222222225</v>
      </c>
      <c r="F338" s="4">
        <v>0.72916666666666663</v>
      </c>
      <c r="G338" s="2">
        <v>27.1</v>
      </c>
      <c r="H338" s="5">
        <v>271</v>
      </c>
      <c r="I338" t="s">
        <v>12</v>
      </c>
      <c r="J338">
        <f>HOUR(Table2[[#This Row],[Charging_Start_Time]])</f>
        <v>15</v>
      </c>
    </row>
    <row r="339" spans="1:10" x14ac:dyDescent="0.3">
      <c r="A339" t="s">
        <v>363</v>
      </c>
      <c r="B339" t="s">
        <v>14</v>
      </c>
      <c r="C339" s="1">
        <v>45945</v>
      </c>
      <c r="D339" t="s">
        <v>24</v>
      </c>
      <c r="E339" s="3">
        <v>0.76666666666666672</v>
      </c>
      <c r="F339" s="4">
        <v>0.79305555555555551</v>
      </c>
      <c r="G339" s="2">
        <v>40.6</v>
      </c>
      <c r="H339" s="5">
        <v>406</v>
      </c>
      <c r="I339" t="s">
        <v>22</v>
      </c>
      <c r="J339">
        <f>HOUR(Table2[[#This Row],[Charging_Start_Time]])</f>
        <v>18</v>
      </c>
    </row>
    <row r="340" spans="1:10" x14ac:dyDescent="0.3">
      <c r="A340" t="s">
        <v>364</v>
      </c>
      <c r="B340" t="s">
        <v>17</v>
      </c>
      <c r="C340" s="1">
        <v>45945</v>
      </c>
      <c r="D340" t="s">
        <v>11</v>
      </c>
      <c r="E340" s="3">
        <v>0.57708333333333328</v>
      </c>
      <c r="F340" s="4">
        <v>0.65138888888888891</v>
      </c>
      <c r="G340" s="2">
        <v>90.8</v>
      </c>
      <c r="H340" s="5">
        <v>908</v>
      </c>
      <c r="I340" t="s">
        <v>12</v>
      </c>
      <c r="J340">
        <f>HOUR(Table2[[#This Row],[Charging_Start_Time]])</f>
        <v>13</v>
      </c>
    </row>
    <row r="341" spans="1:10" x14ac:dyDescent="0.3">
      <c r="A341" t="s">
        <v>365</v>
      </c>
      <c r="B341" t="s">
        <v>37</v>
      </c>
      <c r="C341" s="1">
        <v>45945</v>
      </c>
      <c r="D341" t="s">
        <v>24</v>
      </c>
      <c r="E341" s="3">
        <v>0.56874999999999998</v>
      </c>
      <c r="F341" s="4">
        <v>0.59375</v>
      </c>
      <c r="G341" s="2">
        <v>23.3</v>
      </c>
      <c r="H341" s="5">
        <v>233</v>
      </c>
      <c r="I341" t="s">
        <v>18</v>
      </c>
      <c r="J341">
        <f>HOUR(Table2[[#This Row],[Charging_Start_Time]])</f>
        <v>13</v>
      </c>
    </row>
    <row r="342" spans="1:10" x14ac:dyDescent="0.3">
      <c r="A342" t="s">
        <v>366</v>
      </c>
      <c r="B342" t="s">
        <v>52</v>
      </c>
      <c r="C342" s="1">
        <v>45945</v>
      </c>
      <c r="D342" t="s">
        <v>11</v>
      </c>
      <c r="E342" s="3">
        <v>0.55208333333333337</v>
      </c>
      <c r="F342" s="4">
        <v>0.62986111111111109</v>
      </c>
      <c r="G342" s="2">
        <v>8</v>
      </c>
      <c r="H342" s="5">
        <v>80</v>
      </c>
      <c r="I342" t="s">
        <v>22</v>
      </c>
      <c r="J342">
        <f>HOUR(Table2[[#This Row],[Charging_Start_Time]])</f>
        <v>13</v>
      </c>
    </row>
    <row r="343" spans="1:10" x14ac:dyDescent="0.3">
      <c r="A343" t="s">
        <v>367</v>
      </c>
      <c r="B343" t="s">
        <v>26</v>
      </c>
      <c r="C343" s="1">
        <v>45945</v>
      </c>
      <c r="D343" t="s">
        <v>28</v>
      </c>
      <c r="E343" s="3">
        <v>0.77222222222222225</v>
      </c>
      <c r="F343" s="4">
        <v>0.81041666666666667</v>
      </c>
      <c r="G343" s="2">
        <v>47</v>
      </c>
      <c r="H343" s="5">
        <v>470</v>
      </c>
      <c r="I343" t="s">
        <v>12</v>
      </c>
      <c r="J343">
        <f>HOUR(Table2[[#This Row],[Charging_Start_Time]])</f>
        <v>18</v>
      </c>
    </row>
    <row r="344" spans="1:10" x14ac:dyDescent="0.3">
      <c r="A344" t="s">
        <v>368</v>
      </c>
      <c r="B344" t="s">
        <v>40</v>
      </c>
      <c r="C344" s="1">
        <v>45945</v>
      </c>
      <c r="D344" t="s">
        <v>24</v>
      </c>
      <c r="E344" s="3">
        <v>0.43333333333333335</v>
      </c>
      <c r="F344" s="4">
        <v>0.48194444444444445</v>
      </c>
      <c r="G344" s="2">
        <v>78.400000000000006</v>
      </c>
      <c r="H344" s="5">
        <v>784</v>
      </c>
      <c r="I344" t="s">
        <v>12</v>
      </c>
      <c r="J344">
        <f>HOUR(Table2[[#This Row],[Charging_Start_Time]])</f>
        <v>10</v>
      </c>
    </row>
    <row r="345" spans="1:10" x14ac:dyDescent="0.3">
      <c r="A345" t="s">
        <v>369</v>
      </c>
      <c r="B345" t="s">
        <v>14</v>
      </c>
      <c r="C345" s="1">
        <v>45945</v>
      </c>
      <c r="D345" t="s">
        <v>24</v>
      </c>
      <c r="E345" s="3">
        <v>0.30625000000000002</v>
      </c>
      <c r="F345" s="4">
        <v>0.34097222222222223</v>
      </c>
      <c r="G345" s="2">
        <v>49.6</v>
      </c>
      <c r="H345" s="5">
        <v>496</v>
      </c>
      <c r="I345" t="s">
        <v>18</v>
      </c>
      <c r="J345">
        <f>HOUR(Table2[[#This Row],[Charging_Start_Time]])</f>
        <v>7</v>
      </c>
    </row>
    <row r="346" spans="1:10" x14ac:dyDescent="0.3">
      <c r="A346" t="s">
        <v>370</v>
      </c>
      <c r="B346" t="s">
        <v>30</v>
      </c>
      <c r="C346" s="1">
        <v>45945</v>
      </c>
      <c r="D346" t="s">
        <v>24</v>
      </c>
      <c r="E346" s="3">
        <v>0.41180555555555554</v>
      </c>
      <c r="F346" s="4">
        <v>0.45347222222222222</v>
      </c>
      <c r="G346" s="2">
        <v>33.700000000000003</v>
      </c>
      <c r="H346" s="5">
        <v>337</v>
      </c>
      <c r="I346" t="s">
        <v>18</v>
      </c>
      <c r="J346">
        <f>HOUR(Table2[[#This Row],[Charging_Start_Time]])</f>
        <v>9</v>
      </c>
    </row>
    <row r="347" spans="1:10" x14ac:dyDescent="0.3">
      <c r="A347" t="s">
        <v>371</v>
      </c>
      <c r="B347" t="s">
        <v>37</v>
      </c>
      <c r="C347" s="1">
        <v>45945</v>
      </c>
      <c r="D347" t="s">
        <v>15</v>
      </c>
      <c r="E347" s="3">
        <v>0.62013888888888891</v>
      </c>
      <c r="F347" s="4">
        <v>0.69166666666666665</v>
      </c>
      <c r="G347" s="2">
        <v>99.6</v>
      </c>
      <c r="H347" s="5">
        <v>996</v>
      </c>
      <c r="I347" t="s">
        <v>22</v>
      </c>
      <c r="J347">
        <f>HOUR(Table2[[#This Row],[Charging_Start_Time]])</f>
        <v>14</v>
      </c>
    </row>
    <row r="348" spans="1:10" x14ac:dyDescent="0.3">
      <c r="A348" t="s">
        <v>372</v>
      </c>
      <c r="B348" t="s">
        <v>17</v>
      </c>
      <c r="C348" s="1">
        <v>45945</v>
      </c>
      <c r="D348" t="s">
        <v>28</v>
      </c>
      <c r="E348" s="3">
        <v>0.55833333333333335</v>
      </c>
      <c r="F348" s="4">
        <v>0.64166666666666672</v>
      </c>
      <c r="G348" s="2">
        <v>13.9</v>
      </c>
      <c r="H348" s="5">
        <v>139</v>
      </c>
      <c r="I348" t="s">
        <v>18</v>
      </c>
      <c r="J348">
        <f>HOUR(Table2[[#This Row],[Charging_Start_Time]])</f>
        <v>13</v>
      </c>
    </row>
    <row r="349" spans="1:10" x14ac:dyDescent="0.3">
      <c r="A349" t="s">
        <v>373</v>
      </c>
      <c r="B349" t="s">
        <v>40</v>
      </c>
      <c r="C349" s="1">
        <v>45945</v>
      </c>
      <c r="D349" t="s">
        <v>15</v>
      </c>
      <c r="E349" s="3">
        <v>0.83888888888888891</v>
      </c>
      <c r="F349" s="4">
        <v>0.88055555555555554</v>
      </c>
      <c r="G349" s="2">
        <v>89.9</v>
      </c>
      <c r="H349" s="5">
        <v>899</v>
      </c>
      <c r="I349" t="s">
        <v>22</v>
      </c>
      <c r="J349">
        <f>HOUR(Table2[[#This Row],[Charging_Start_Time]])</f>
        <v>20</v>
      </c>
    </row>
    <row r="350" spans="1:10" x14ac:dyDescent="0.3">
      <c r="A350" t="s">
        <v>374</v>
      </c>
      <c r="B350" t="s">
        <v>40</v>
      </c>
      <c r="C350" s="1">
        <v>45945</v>
      </c>
      <c r="D350" t="s">
        <v>24</v>
      </c>
      <c r="E350" s="3">
        <v>0.33263888888888887</v>
      </c>
      <c r="F350" s="4">
        <v>0.43819444444444444</v>
      </c>
      <c r="G350" s="2">
        <v>98.5</v>
      </c>
      <c r="H350" s="5">
        <v>985</v>
      </c>
      <c r="I350" t="s">
        <v>12</v>
      </c>
      <c r="J350">
        <f>HOUR(Table2[[#This Row],[Charging_Start_Time]])</f>
        <v>7</v>
      </c>
    </row>
    <row r="351" spans="1:10" x14ac:dyDescent="0.3">
      <c r="A351" t="s">
        <v>375</v>
      </c>
      <c r="B351" t="s">
        <v>10</v>
      </c>
      <c r="C351" s="1">
        <v>45945</v>
      </c>
      <c r="D351" t="s">
        <v>11</v>
      </c>
      <c r="E351" s="3">
        <v>0.82916666666666672</v>
      </c>
      <c r="F351" s="4">
        <v>0.94444444444444442</v>
      </c>
      <c r="G351" s="2">
        <v>89.5</v>
      </c>
      <c r="H351" s="5">
        <v>895</v>
      </c>
      <c r="I351" t="s">
        <v>22</v>
      </c>
      <c r="J351">
        <f>HOUR(Table2[[#This Row],[Charging_Start_Time]])</f>
        <v>19</v>
      </c>
    </row>
    <row r="352" spans="1:10" x14ac:dyDescent="0.3">
      <c r="A352" t="s">
        <v>376</v>
      </c>
      <c r="B352" t="s">
        <v>20</v>
      </c>
      <c r="C352" s="1">
        <v>45945</v>
      </c>
      <c r="D352" t="s">
        <v>11</v>
      </c>
      <c r="E352" s="3">
        <v>0.42291666666666666</v>
      </c>
      <c r="F352" s="4">
        <v>0.50138888888888888</v>
      </c>
      <c r="G352" s="2">
        <v>61.3</v>
      </c>
      <c r="H352" s="5">
        <v>613</v>
      </c>
      <c r="I352" t="s">
        <v>18</v>
      </c>
      <c r="J352">
        <f>HOUR(Table2[[#This Row],[Charging_Start_Time]])</f>
        <v>10</v>
      </c>
    </row>
    <row r="353" spans="1:10" x14ac:dyDescent="0.3">
      <c r="A353" t="s">
        <v>377</v>
      </c>
      <c r="B353" t="s">
        <v>10</v>
      </c>
      <c r="C353" s="1">
        <v>45945</v>
      </c>
      <c r="D353" t="s">
        <v>28</v>
      </c>
      <c r="E353" s="3">
        <v>0.40833333333333333</v>
      </c>
      <c r="F353" s="4">
        <v>0.45</v>
      </c>
      <c r="G353" s="2">
        <v>47.9</v>
      </c>
      <c r="H353" s="5">
        <v>479</v>
      </c>
      <c r="I353" t="s">
        <v>22</v>
      </c>
      <c r="J353">
        <f>HOUR(Table2[[#This Row],[Charging_Start_Time]])</f>
        <v>9</v>
      </c>
    </row>
    <row r="354" spans="1:10" x14ac:dyDescent="0.3">
      <c r="A354" t="s">
        <v>378</v>
      </c>
      <c r="B354" t="s">
        <v>37</v>
      </c>
      <c r="C354" s="1">
        <v>45945</v>
      </c>
      <c r="D354" t="s">
        <v>15</v>
      </c>
      <c r="E354" s="3">
        <v>0.64930555555555558</v>
      </c>
      <c r="F354" s="4">
        <v>0.67013888888888884</v>
      </c>
      <c r="G354" s="2">
        <v>99.3</v>
      </c>
      <c r="H354" s="5">
        <v>993</v>
      </c>
      <c r="I354" t="s">
        <v>22</v>
      </c>
      <c r="J354">
        <f>HOUR(Table2[[#This Row],[Charging_Start_Time]])</f>
        <v>15</v>
      </c>
    </row>
    <row r="355" spans="1:10" x14ac:dyDescent="0.3">
      <c r="A355" t="s">
        <v>379</v>
      </c>
      <c r="B355" t="s">
        <v>37</v>
      </c>
      <c r="C355" s="1">
        <v>45945</v>
      </c>
      <c r="D355" t="s">
        <v>24</v>
      </c>
      <c r="E355" s="3">
        <v>0.45347222222222222</v>
      </c>
      <c r="F355" s="4">
        <v>0.57291666666666663</v>
      </c>
      <c r="G355" s="2">
        <v>62.1</v>
      </c>
      <c r="H355" s="5">
        <v>621</v>
      </c>
      <c r="I355" t="s">
        <v>18</v>
      </c>
      <c r="J355">
        <f>HOUR(Table2[[#This Row],[Charging_Start_Time]])</f>
        <v>10</v>
      </c>
    </row>
    <row r="356" spans="1:10" x14ac:dyDescent="0.3">
      <c r="A356" t="s">
        <v>380</v>
      </c>
      <c r="B356" t="s">
        <v>20</v>
      </c>
      <c r="C356" s="1">
        <v>45945</v>
      </c>
      <c r="D356" t="s">
        <v>15</v>
      </c>
      <c r="E356" s="3">
        <v>0.51527777777777772</v>
      </c>
      <c r="F356" s="4">
        <v>0.62847222222222221</v>
      </c>
      <c r="G356" s="2">
        <v>60.1</v>
      </c>
      <c r="H356" s="5">
        <v>601</v>
      </c>
      <c r="I356" t="s">
        <v>22</v>
      </c>
      <c r="J356">
        <f>HOUR(Table2[[#This Row],[Charging_Start_Time]])</f>
        <v>12</v>
      </c>
    </row>
    <row r="357" spans="1:10" x14ac:dyDescent="0.3">
      <c r="A357" t="s">
        <v>381</v>
      </c>
      <c r="B357" t="s">
        <v>14</v>
      </c>
      <c r="C357" s="1">
        <v>45945</v>
      </c>
      <c r="D357" t="s">
        <v>11</v>
      </c>
      <c r="E357" s="3">
        <v>0.30972222222222223</v>
      </c>
      <c r="F357" s="4">
        <v>0.33611111111111114</v>
      </c>
      <c r="G357" s="2">
        <v>15.1</v>
      </c>
      <c r="H357" s="5">
        <v>151</v>
      </c>
      <c r="I357" t="s">
        <v>12</v>
      </c>
      <c r="J357">
        <f>HOUR(Table2[[#This Row],[Charging_Start_Time]])</f>
        <v>7</v>
      </c>
    </row>
    <row r="358" spans="1:10" x14ac:dyDescent="0.3">
      <c r="A358" t="s">
        <v>382</v>
      </c>
      <c r="B358" t="s">
        <v>52</v>
      </c>
      <c r="C358" s="1">
        <v>45945</v>
      </c>
      <c r="D358" t="s">
        <v>28</v>
      </c>
      <c r="E358" s="3">
        <v>0.78541666666666665</v>
      </c>
      <c r="F358" s="4">
        <v>0.81527777777777777</v>
      </c>
      <c r="G358" s="2">
        <v>40</v>
      </c>
      <c r="H358" s="5">
        <v>400</v>
      </c>
      <c r="I358" t="s">
        <v>12</v>
      </c>
      <c r="J358">
        <f>HOUR(Table2[[#This Row],[Charging_Start_Time]])</f>
        <v>18</v>
      </c>
    </row>
    <row r="359" spans="1:10" x14ac:dyDescent="0.3">
      <c r="A359" t="s">
        <v>383</v>
      </c>
      <c r="B359" t="s">
        <v>52</v>
      </c>
      <c r="C359" s="1">
        <v>45945</v>
      </c>
      <c r="D359" t="s">
        <v>24</v>
      </c>
      <c r="E359" s="3">
        <v>0.64027777777777772</v>
      </c>
      <c r="F359" s="4">
        <v>0.68263888888888891</v>
      </c>
      <c r="G359" s="2">
        <v>83.1</v>
      </c>
      <c r="H359" s="5">
        <v>831</v>
      </c>
      <c r="I359" t="s">
        <v>12</v>
      </c>
      <c r="J359">
        <f>HOUR(Table2[[#This Row],[Charging_Start_Time]])</f>
        <v>15</v>
      </c>
    </row>
    <row r="360" spans="1:10" x14ac:dyDescent="0.3">
      <c r="A360" t="s">
        <v>384</v>
      </c>
      <c r="B360" t="s">
        <v>10</v>
      </c>
      <c r="C360" s="1">
        <v>45945</v>
      </c>
      <c r="D360" t="s">
        <v>24</v>
      </c>
      <c r="E360" s="3">
        <v>0.27708333333333335</v>
      </c>
      <c r="F360" s="4">
        <v>0.30694444444444446</v>
      </c>
      <c r="G360" s="2">
        <v>69.599999999999994</v>
      </c>
      <c r="H360" s="5">
        <v>696</v>
      </c>
      <c r="I360" t="s">
        <v>22</v>
      </c>
      <c r="J360">
        <f>HOUR(Table2[[#This Row],[Charging_Start_Time]])</f>
        <v>6</v>
      </c>
    </row>
    <row r="361" spans="1:10" x14ac:dyDescent="0.3">
      <c r="A361" t="s">
        <v>385</v>
      </c>
      <c r="B361" t="s">
        <v>26</v>
      </c>
      <c r="C361" s="1">
        <v>45945</v>
      </c>
      <c r="D361" t="s">
        <v>24</v>
      </c>
      <c r="E361" s="3">
        <v>0.69166666666666665</v>
      </c>
      <c r="F361" s="4">
        <v>0.79791666666666672</v>
      </c>
      <c r="G361" s="2">
        <v>69.8</v>
      </c>
      <c r="H361" s="5">
        <v>698</v>
      </c>
      <c r="I361" t="s">
        <v>22</v>
      </c>
      <c r="J361">
        <f>HOUR(Table2[[#This Row],[Charging_Start_Time]])</f>
        <v>16</v>
      </c>
    </row>
    <row r="362" spans="1:10" x14ac:dyDescent="0.3">
      <c r="A362" t="s">
        <v>386</v>
      </c>
      <c r="B362" t="s">
        <v>14</v>
      </c>
      <c r="C362" s="1">
        <v>45945</v>
      </c>
      <c r="D362" t="s">
        <v>24</v>
      </c>
      <c r="E362" s="3">
        <v>0.37777777777777777</v>
      </c>
      <c r="F362" s="4">
        <v>0.40972222222222221</v>
      </c>
      <c r="G362" s="2">
        <v>62.2</v>
      </c>
      <c r="H362" s="5">
        <v>622</v>
      </c>
      <c r="I362" t="s">
        <v>18</v>
      </c>
      <c r="J362">
        <f>HOUR(Table2[[#This Row],[Charging_Start_Time]])</f>
        <v>9</v>
      </c>
    </row>
    <row r="363" spans="1:10" x14ac:dyDescent="0.3">
      <c r="A363" t="s">
        <v>387</v>
      </c>
      <c r="B363" t="s">
        <v>30</v>
      </c>
      <c r="C363" s="1">
        <v>45945</v>
      </c>
      <c r="D363" t="s">
        <v>24</v>
      </c>
      <c r="E363" s="3">
        <v>0.37013888888888891</v>
      </c>
      <c r="F363" s="4">
        <v>0.42291666666666666</v>
      </c>
      <c r="G363" s="2">
        <v>68.3</v>
      </c>
      <c r="H363" s="5">
        <v>683</v>
      </c>
      <c r="I363" t="s">
        <v>18</v>
      </c>
      <c r="J363">
        <f>HOUR(Table2[[#This Row],[Charging_Start_Time]])</f>
        <v>8</v>
      </c>
    </row>
    <row r="364" spans="1:10" x14ac:dyDescent="0.3">
      <c r="A364" t="s">
        <v>388</v>
      </c>
      <c r="B364" t="s">
        <v>20</v>
      </c>
      <c r="C364" s="1">
        <v>45945</v>
      </c>
      <c r="D364" t="s">
        <v>24</v>
      </c>
      <c r="E364" s="3">
        <v>0.8041666666666667</v>
      </c>
      <c r="F364" s="4">
        <v>0.8305555555555556</v>
      </c>
      <c r="G364" s="2">
        <v>16.5</v>
      </c>
      <c r="H364" s="5">
        <v>165</v>
      </c>
      <c r="I364" t="s">
        <v>12</v>
      </c>
      <c r="J364">
        <f>HOUR(Table2[[#This Row],[Charging_Start_Time]])</f>
        <v>19</v>
      </c>
    </row>
    <row r="365" spans="1:10" x14ac:dyDescent="0.3">
      <c r="A365" t="s">
        <v>389</v>
      </c>
      <c r="B365" t="s">
        <v>30</v>
      </c>
      <c r="C365" s="1">
        <v>45945</v>
      </c>
      <c r="D365" t="s">
        <v>15</v>
      </c>
      <c r="E365" s="3">
        <v>0.72847222222222219</v>
      </c>
      <c r="F365" s="4">
        <v>0.76041666666666663</v>
      </c>
      <c r="G365" s="2">
        <v>40.4</v>
      </c>
      <c r="H365" s="5">
        <v>404</v>
      </c>
      <c r="I365" t="s">
        <v>18</v>
      </c>
      <c r="J365">
        <f>HOUR(Table2[[#This Row],[Charging_Start_Time]])</f>
        <v>17</v>
      </c>
    </row>
    <row r="366" spans="1:10" x14ac:dyDescent="0.3">
      <c r="A366" t="s">
        <v>390</v>
      </c>
      <c r="B366" t="s">
        <v>52</v>
      </c>
      <c r="C366" s="1">
        <v>45945</v>
      </c>
      <c r="D366" t="s">
        <v>28</v>
      </c>
      <c r="E366" s="3">
        <v>0.67569444444444449</v>
      </c>
      <c r="F366" s="4">
        <v>0.71111111111111114</v>
      </c>
      <c r="G366" s="2">
        <v>76.599999999999994</v>
      </c>
      <c r="H366" s="5">
        <v>766</v>
      </c>
      <c r="I366" t="s">
        <v>18</v>
      </c>
      <c r="J366">
        <f>HOUR(Table2[[#This Row],[Charging_Start_Time]])</f>
        <v>16</v>
      </c>
    </row>
    <row r="367" spans="1:10" x14ac:dyDescent="0.3">
      <c r="A367" t="s">
        <v>391</v>
      </c>
      <c r="B367" t="s">
        <v>17</v>
      </c>
      <c r="C367" s="1">
        <v>45945</v>
      </c>
      <c r="D367" t="s">
        <v>28</v>
      </c>
      <c r="E367" s="3">
        <v>0.39513888888888887</v>
      </c>
      <c r="F367" s="4">
        <v>0.48333333333333334</v>
      </c>
      <c r="G367" s="2">
        <v>49.2</v>
      </c>
      <c r="H367" s="5">
        <v>492</v>
      </c>
      <c r="I367" t="s">
        <v>22</v>
      </c>
      <c r="J367">
        <f>HOUR(Table2[[#This Row],[Charging_Start_Time]])</f>
        <v>9</v>
      </c>
    </row>
    <row r="368" spans="1:10" x14ac:dyDescent="0.3">
      <c r="A368" t="s">
        <v>392</v>
      </c>
      <c r="B368" t="s">
        <v>10</v>
      </c>
      <c r="C368" s="1">
        <v>45945</v>
      </c>
      <c r="D368" t="s">
        <v>24</v>
      </c>
      <c r="E368" s="3">
        <v>0.75902777777777775</v>
      </c>
      <c r="F368" s="4">
        <v>0.78402777777777777</v>
      </c>
      <c r="G368" s="2">
        <v>67.8</v>
      </c>
      <c r="H368" s="5">
        <v>678</v>
      </c>
      <c r="I368" t="s">
        <v>12</v>
      </c>
      <c r="J368">
        <f>HOUR(Table2[[#This Row],[Charging_Start_Time]])</f>
        <v>18</v>
      </c>
    </row>
    <row r="369" spans="1:10" x14ac:dyDescent="0.3">
      <c r="A369" t="s">
        <v>393</v>
      </c>
      <c r="B369" t="s">
        <v>52</v>
      </c>
      <c r="C369" s="1">
        <v>45945</v>
      </c>
      <c r="D369" t="s">
        <v>11</v>
      </c>
      <c r="E369" s="3">
        <v>0.7631944444444444</v>
      </c>
      <c r="F369" s="4">
        <v>0.85069444444444442</v>
      </c>
      <c r="G369" s="2">
        <v>89.4</v>
      </c>
      <c r="H369" s="5">
        <v>894</v>
      </c>
      <c r="I369" t="s">
        <v>18</v>
      </c>
      <c r="J369">
        <f>HOUR(Table2[[#This Row],[Charging_Start_Time]])</f>
        <v>18</v>
      </c>
    </row>
    <row r="370" spans="1:10" x14ac:dyDescent="0.3">
      <c r="A370" t="s">
        <v>394</v>
      </c>
      <c r="B370" t="s">
        <v>26</v>
      </c>
      <c r="C370" s="1">
        <v>45945</v>
      </c>
      <c r="D370" t="s">
        <v>11</v>
      </c>
      <c r="E370" s="3">
        <v>0.80555555555555558</v>
      </c>
      <c r="F370" s="4">
        <v>0.88055555555555554</v>
      </c>
      <c r="G370" s="2">
        <v>81.8</v>
      </c>
      <c r="H370" s="5">
        <v>818</v>
      </c>
      <c r="I370" t="s">
        <v>18</v>
      </c>
      <c r="J370">
        <f>HOUR(Table2[[#This Row],[Charging_Start_Time]])</f>
        <v>19</v>
      </c>
    </row>
    <row r="371" spans="1:10" x14ac:dyDescent="0.3">
      <c r="A371" t="s">
        <v>395</v>
      </c>
      <c r="B371" t="s">
        <v>40</v>
      </c>
      <c r="C371" s="1">
        <v>45945</v>
      </c>
      <c r="D371" t="s">
        <v>24</v>
      </c>
      <c r="E371" s="3">
        <v>0.39374999999999999</v>
      </c>
      <c r="F371" s="4">
        <v>0.47847222222222224</v>
      </c>
      <c r="G371" s="2">
        <v>56.2</v>
      </c>
      <c r="H371" s="5">
        <v>562</v>
      </c>
      <c r="I371" t="s">
        <v>12</v>
      </c>
      <c r="J371">
        <f>HOUR(Table2[[#This Row],[Charging_Start_Time]])</f>
        <v>9</v>
      </c>
    </row>
    <row r="372" spans="1:10" x14ac:dyDescent="0.3">
      <c r="A372" t="s">
        <v>396</v>
      </c>
      <c r="B372" t="s">
        <v>40</v>
      </c>
      <c r="C372" s="1">
        <v>45945</v>
      </c>
      <c r="D372" t="s">
        <v>15</v>
      </c>
      <c r="E372" s="3">
        <v>0.49513888888888891</v>
      </c>
      <c r="F372" s="4">
        <v>0.59097222222222223</v>
      </c>
      <c r="G372" s="2">
        <v>64.5</v>
      </c>
      <c r="H372" s="5">
        <v>645</v>
      </c>
      <c r="I372" t="s">
        <v>12</v>
      </c>
      <c r="J372">
        <f>HOUR(Table2[[#This Row],[Charging_Start_Time]])</f>
        <v>11</v>
      </c>
    </row>
    <row r="373" spans="1:10" x14ac:dyDescent="0.3">
      <c r="A373" t="s">
        <v>397</v>
      </c>
      <c r="B373" t="s">
        <v>10</v>
      </c>
      <c r="C373" s="1">
        <v>45945</v>
      </c>
      <c r="D373" t="s">
        <v>15</v>
      </c>
      <c r="E373" s="3">
        <v>0.26944444444444443</v>
      </c>
      <c r="F373" s="4">
        <v>0.29791666666666666</v>
      </c>
      <c r="G373" s="2">
        <v>59.2</v>
      </c>
      <c r="H373" s="5">
        <v>592</v>
      </c>
      <c r="I373" t="s">
        <v>12</v>
      </c>
      <c r="J373">
        <f>HOUR(Table2[[#This Row],[Charging_Start_Time]])</f>
        <v>6</v>
      </c>
    </row>
    <row r="374" spans="1:10" x14ac:dyDescent="0.3">
      <c r="A374" t="s">
        <v>398</v>
      </c>
      <c r="B374" t="s">
        <v>33</v>
      </c>
      <c r="C374" s="1">
        <v>45945</v>
      </c>
      <c r="D374" t="s">
        <v>11</v>
      </c>
      <c r="E374" s="3">
        <v>0.78541666666666665</v>
      </c>
      <c r="F374" s="4">
        <v>0.85</v>
      </c>
      <c r="G374" s="2">
        <v>86.3</v>
      </c>
      <c r="H374" s="5">
        <v>863</v>
      </c>
      <c r="I374" t="s">
        <v>12</v>
      </c>
      <c r="J374">
        <f>HOUR(Table2[[#This Row],[Charging_Start_Time]])</f>
        <v>18</v>
      </c>
    </row>
    <row r="375" spans="1:10" x14ac:dyDescent="0.3">
      <c r="A375" t="s">
        <v>399</v>
      </c>
      <c r="B375" t="s">
        <v>10</v>
      </c>
      <c r="C375" s="1">
        <v>45945</v>
      </c>
      <c r="D375" t="s">
        <v>28</v>
      </c>
      <c r="E375" s="3">
        <v>0.76041666666666663</v>
      </c>
      <c r="F375" s="4">
        <v>0.86250000000000004</v>
      </c>
      <c r="G375" s="2">
        <v>78.8</v>
      </c>
      <c r="H375" s="5">
        <v>788</v>
      </c>
      <c r="I375" t="s">
        <v>18</v>
      </c>
      <c r="J375">
        <f>HOUR(Table2[[#This Row],[Charging_Start_Time]])</f>
        <v>18</v>
      </c>
    </row>
    <row r="376" spans="1:10" x14ac:dyDescent="0.3">
      <c r="A376" t="s">
        <v>400</v>
      </c>
      <c r="B376" t="s">
        <v>33</v>
      </c>
      <c r="C376" s="1">
        <v>45945</v>
      </c>
      <c r="D376" t="s">
        <v>24</v>
      </c>
      <c r="E376" s="3">
        <v>0.63680555555555551</v>
      </c>
      <c r="F376" s="4">
        <v>0.72499999999999998</v>
      </c>
      <c r="G376" s="2">
        <v>46.6</v>
      </c>
      <c r="H376" s="5">
        <v>466</v>
      </c>
      <c r="I376" t="s">
        <v>12</v>
      </c>
      <c r="J376">
        <f>HOUR(Table2[[#This Row],[Charging_Start_Time]])</f>
        <v>15</v>
      </c>
    </row>
    <row r="377" spans="1:10" x14ac:dyDescent="0.3">
      <c r="A377" t="s">
        <v>401</v>
      </c>
      <c r="B377" t="s">
        <v>30</v>
      </c>
      <c r="C377" s="1">
        <v>45945</v>
      </c>
      <c r="D377" t="s">
        <v>15</v>
      </c>
      <c r="E377" s="3">
        <v>0.44027777777777777</v>
      </c>
      <c r="F377" s="4">
        <v>0.49305555555555558</v>
      </c>
      <c r="G377" s="2">
        <v>51</v>
      </c>
      <c r="H377" s="5">
        <v>510</v>
      </c>
      <c r="I377" t="s">
        <v>18</v>
      </c>
      <c r="J377">
        <f>HOUR(Table2[[#This Row],[Charging_Start_Time]])</f>
        <v>10</v>
      </c>
    </row>
    <row r="378" spans="1:10" x14ac:dyDescent="0.3">
      <c r="A378" t="s">
        <v>402</v>
      </c>
      <c r="B378" t="s">
        <v>33</v>
      </c>
      <c r="C378" s="1">
        <v>45945</v>
      </c>
      <c r="D378" t="s">
        <v>11</v>
      </c>
      <c r="E378" s="3">
        <v>0.25069444444444444</v>
      </c>
      <c r="F378" s="4">
        <v>0.34652777777777777</v>
      </c>
      <c r="G378" s="2">
        <v>33.4</v>
      </c>
      <c r="H378" s="5">
        <v>334</v>
      </c>
      <c r="I378" t="s">
        <v>18</v>
      </c>
      <c r="J378">
        <f>HOUR(Table2[[#This Row],[Charging_Start_Time]])</f>
        <v>6</v>
      </c>
    </row>
    <row r="379" spans="1:10" x14ac:dyDescent="0.3">
      <c r="A379" t="s">
        <v>403</v>
      </c>
      <c r="B379" t="s">
        <v>52</v>
      </c>
      <c r="C379" s="1">
        <v>45945</v>
      </c>
      <c r="D379" t="s">
        <v>11</v>
      </c>
      <c r="E379" s="3">
        <v>0.69930555555555551</v>
      </c>
      <c r="F379" s="4">
        <v>0.80972222222222223</v>
      </c>
      <c r="G379" s="2">
        <v>35.6</v>
      </c>
      <c r="H379" s="5">
        <v>356</v>
      </c>
      <c r="I379" t="s">
        <v>18</v>
      </c>
      <c r="J379">
        <f>HOUR(Table2[[#This Row],[Charging_Start_Time]])</f>
        <v>16</v>
      </c>
    </row>
    <row r="380" spans="1:10" x14ac:dyDescent="0.3">
      <c r="A380" t="s">
        <v>404</v>
      </c>
      <c r="B380" t="s">
        <v>40</v>
      </c>
      <c r="C380" s="1">
        <v>45945</v>
      </c>
      <c r="D380" t="s">
        <v>28</v>
      </c>
      <c r="E380" s="3">
        <v>0.29444444444444445</v>
      </c>
      <c r="F380" s="4">
        <v>0.41388888888888886</v>
      </c>
      <c r="G380" s="2">
        <v>4</v>
      </c>
      <c r="H380" s="5">
        <v>40</v>
      </c>
      <c r="I380" t="s">
        <v>12</v>
      </c>
      <c r="J380">
        <f>HOUR(Table2[[#This Row],[Charging_Start_Time]])</f>
        <v>7</v>
      </c>
    </row>
    <row r="381" spans="1:10" x14ac:dyDescent="0.3">
      <c r="A381" t="s">
        <v>405</v>
      </c>
      <c r="B381" t="s">
        <v>26</v>
      </c>
      <c r="C381" s="1">
        <v>45945</v>
      </c>
      <c r="D381" t="s">
        <v>24</v>
      </c>
      <c r="E381" s="3">
        <v>0.79236111111111107</v>
      </c>
      <c r="F381" s="4">
        <v>0.8930555555555556</v>
      </c>
      <c r="G381" s="2">
        <v>89.4</v>
      </c>
      <c r="H381" s="5">
        <v>894</v>
      </c>
      <c r="I381" t="s">
        <v>22</v>
      </c>
      <c r="J381">
        <f>HOUR(Table2[[#This Row],[Charging_Start_Time]])</f>
        <v>19</v>
      </c>
    </row>
    <row r="382" spans="1:10" x14ac:dyDescent="0.3">
      <c r="A382" t="s">
        <v>406</v>
      </c>
      <c r="B382" t="s">
        <v>20</v>
      </c>
      <c r="C382" s="1">
        <v>45945</v>
      </c>
      <c r="D382" t="s">
        <v>11</v>
      </c>
      <c r="E382" s="3">
        <v>0.40486111111111112</v>
      </c>
      <c r="F382" s="4">
        <v>0.50208333333333333</v>
      </c>
      <c r="G382" s="2">
        <v>4.2</v>
      </c>
      <c r="H382" s="5">
        <v>42</v>
      </c>
      <c r="I382" t="s">
        <v>22</v>
      </c>
      <c r="J382">
        <f>HOUR(Table2[[#This Row],[Charging_Start_Time]])</f>
        <v>9</v>
      </c>
    </row>
    <row r="383" spans="1:10" x14ac:dyDescent="0.3">
      <c r="A383" t="s">
        <v>407</v>
      </c>
      <c r="B383" t="s">
        <v>14</v>
      </c>
      <c r="C383" s="1">
        <v>45945</v>
      </c>
      <c r="D383" t="s">
        <v>11</v>
      </c>
      <c r="E383" s="3">
        <v>0.39097222222222222</v>
      </c>
      <c r="F383" s="4">
        <v>0.45208333333333334</v>
      </c>
      <c r="G383" s="2">
        <v>41.6</v>
      </c>
      <c r="H383" s="5">
        <v>416</v>
      </c>
      <c r="I383" t="s">
        <v>12</v>
      </c>
      <c r="J383">
        <f>HOUR(Table2[[#This Row],[Charging_Start_Time]])</f>
        <v>9</v>
      </c>
    </row>
    <row r="384" spans="1:10" x14ac:dyDescent="0.3">
      <c r="A384" t="s">
        <v>408</v>
      </c>
      <c r="B384" t="s">
        <v>33</v>
      </c>
      <c r="C384" s="1">
        <v>45945</v>
      </c>
      <c r="D384" t="s">
        <v>28</v>
      </c>
      <c r="E384" s="3">
        <v>0.29930555555555555</v>
      </c>
      <c r="F384" s="4">
        <v>0.3659722222222222</v>
      </c>
      <c r="G384" s="2">
        <v>44.2</v>
      </c>
      <c r="H384" s="5">
        <v>442</v>
      </c>
      <c r="I384" t="s">
        <v>12</v>
      </c>
      <c r="J384">
        <f>HOUR(Table2[[#This Row],[Charging_Start_Time]])</f>
        <v>7</v>
      </c>
    </row>
    <row r="385" spans="1:10" x14ac:dyDescent="0.3">
      <c r="A385" t="s">
        <v>409</v>
      </c>
      <c r="B385" t="s">
        <v>14</v>
      </c>
      <c r="C385" s="1">
        <v>45945</v>
      </c>
      <c r="D385" t="s">
        <v>15</v>
      </c>
      <c r="E385" s="3">
        <v>0.54583333333333328</v>
      </c>
      <c r="F385" s="4">
        <v>0.57638888888888884</v>
      </c>
      <c r="G385" s="2">
        <v>92.5</v>
      </c>
      <c r="H385" s="5">
        <v>925</v>
      </c>
      <c r="I385" t="s">
        <v>18</v>
      </c>
      <c r="J385">
        <f>HOUR(Table2[[#This Row],[Charging_Start_Time]])</f>
        <v>13</v>
      </c>
    </row>
    <row r="386" spans="1:10" x14ac:dyDescent="0.3">
      <c r="A386" t="s">
        <v>410</v>
      </c>
      <c r="B386" t="s">
        <v>17</v>
      </c>
      <c r="C386" s="1">
        <v>45945</v>
      </c>
      <c r="D386" t="s">
        <v>11</v>
      </c>
      <c r="E386" s="3">
        <v>0.63194444444444442</v>
      </c>
      <c r="F386" s="4">
        <v>0.73750000000000004</v>
      </c>
      <c r="G386" s="2">
        <v>38.6</v>
      </c>
      <c r="H386" s="5">
        <v>386</v>
      </c>
      <c r="I386" t="s">
        <v>22</v>
      </c>
      <c r="J386">
        <f>HOUR(Table2[[#This Row],[Charging_Start_Time]])</f>
        <v>15</v>
      </c>
    </row>
    <row r="387" spans="1:10" x14ac:dyDescent="0.3">
      <c r="A387" t="s">
        <v>411</v>
      </c>
      <c r="B387" t="s">
        <v>37</v>
      </c>
      <c r="C387" s="1">
        <v>45945</v>
      </c>
      <c r="D387" t="s">
        <v>24</v>
      </c>
      <c r="E387" s="3">
        <v>0.2638888888888889</v>
      </c>
      <c r="F387" s="4">
        <v>0.34652777777777777</v>
      </c>
      <c r="G387" s="2">
        <v>33.799999999999997</v>
      </c>
      <c r="H387" s="5">
        <v>338</v>
      </c>
      <c r="I387" t="s">
        <v>12</v>
      </c>
      <c r="J387">
        <f>HOUR(Table2[[#This Row],[Charging_Start_Time]])</f>
        <v>6</v>
      </c>
    </row>
    <row r="388" spans="1:10" x14ac:dyDescent="0.3">
      <c r="A388" t="s">
        <v>412</v>
      </c>
      <c r="B388" t="s">
        <v>10</v>
      </c>
      <c r="C388" s="1">
        <v>45945</v>
      </c>
      <c r="D388" t="s">
        <v>24</v>
      </c>
      <c r="E388" s="3">
        <v>0.40625</v>
      </c>
      <c r="F388" s="4">
        <v>0.45694444444444443</v>
      </c>
      <c r="G388" s="2">
        <v>31.4</v>
      </c>
      <c r="H388" s="5">
        <v>314</v>
      </c>
      <c r="I388" t="s">
        <v>18</v>
      </c>
      <c r="J388">
        <f>HOUR(Table2[[#This Row],[Charging_Start_Time]])</f>
        <v>9</v>
      </c>
    </row>
    <row r="389" spans="1:10" x14ac:dyDescent="0.3">
      <c r="A389" t="s">
        <v>413</v>
      </c>
      <c r="B389" t="s">
        <v>37</v>
      </c>
      <c r="C389" s="1">
        <v>45945</v>
      </c>
      <c r="D389" t="s">
        <v>24</v>
      </c>
      <c r="E389" s="3">
        <v>0.67638888888888893</v>
      </c>
      <c r="F389" s="4">
        <v>0.74583333333333335</v>
      </c>
      <c r="G389" s="2">
        <v>69</v>
      </c>
      <c r="H389" s="5">
        <v>690</v>
      </c>
      <c r="I389" t="s">
        <v>12</v>
      </c>
      <c r="J389">
        <f>HOUR(Table2[[#This Row],[Charging_Start_Time]])</f>
        <v>16</v>
      </c>
    </row>
    <row r="390" spans="1:10" x14ac:dyDescent="0.3">
      <c r="A390" t="s">
        <v>414</v>
      </c>
      <c r="B390" t="s">
        <v>10</v>
      </c>
      <c r="C390" s="1">
        <v>45945</v>
      </c>
      <c r="D390" t="s">
        <v>28</v>
      </c>
      <c r="E390" s="3">
        <v>0.75416666666666665</v>
      </c>
      <c r="F390" s="4">
        <v>0.83194444444444449</v>
      </c>
      <c r="G390" s="2">
        <v>96.5</v>
      </c>
      <c r="H390" s="5">
        <v>965</v>
      </c>
      <c r="I390" t="s">
        <v>12</v>
      </c>
      <c r="J390">
        <f>HOUR(Table2[[#This Row],[Charging_Start_Time]])</f>
        <v>18</v>
      </c>
    </row>
    <row r="391" spans="1:10" x14ac:dyDescent="0.3">
      <c r="A391" t="s">
        <v>415</v>
      </c>
      <c r="B391" t="s">
        <v>30</v>
      </c>
      <c r="C391" s="1">
        <v>45945</v>
      </c>
      <c r="D391" t="s">
        <v>24</v>
      </c>
      <c r="E391" s="3">
        <v>0.41319444444444442</v>
      </c>
      <c r="F391" s="4">
        <v>0.50763888888888886</v>
      </c>
      <c r="G391" s="2">
        <v>64.2</v>
      </c>
      <c r="H391" s="5">
        <v>642</v>
      </c>
      <c r="I391" t="s">
        <v>12</v>
      </c>
      <c r="J391">
        <f>HOUR(Table2[[#This Row],[Charging_Start_Time]])</f>
        <v>9</v>
      </c>
    </row>
    <row r="392" spans="1:10" x14ac:dyDescent="0.3">
      <c r="A392" t="s">
        <v>416</v>
      </c>
      <c r="B392" t="s">
        <v>37</v>
      </c>
      <c r="C392" s="1">
        <v>45945</v>
      </c>
      <c r="D392" t="s">
        <v>24</v>
      </c>
      <c r="E392" s="3">
        <v>0.68819444444444444</v>
      </c>
      <c r="F392" s="4">
        <v>0.74513888888888891</v>
      </c>
      <c r="G392" s="2">
        <v>37.200000000000003</v>
      </c>
      <c r="H392" s="5">
        <v>372</v>
      </c>
      <c r="I392" t="s">
        <v>18</v>
      </c>
      <c r="J392">
        <f>HOUR(Table2[[#This Row],[Charging_Start_Time]])</f>
        <v>16</v>
      </c>
    </row>
    <row r="393" spans="1:10" x14ac:dyDescent="0.3">
      <c r="A393" t="s">
        <v>417</v>
      </c>
      <c r="B393" t="s">
        <v>37</v>
      </c>
      <c r="C393" s="1">
        <v>45945</v>
      </c>
      <c r="D393" t="s">
        <v>28</v>
      </c>
      <c r="E393" s="3">
        <v>0.58750000000000002</v>
      </c>
      <c r="F393" s="4">
        <v>0.63958333333333328</v>
      </c>
      <c r="G393" s="2">
        <v>27.7</v>
      </c>
      <c r="H393" s="5">
        <v>277</v>
      </c>
      <c r="I393" t="s">
        <v>18</v>
      </c>
      <c r="J393">
        <f>HOUR(Table2[[#This Row],[Charging_Start_Time]])</f>
        <v>14</v>
      </c>
    </row>
    <row r="394" spans="1:10" x14ac:dyDescent="0.3">
      <c r="A394" t="s">
        <v>418</v>
      </c>
      <c r="B394" t="s">
        <v>30</v>
      </c>
      <c r="C394" s="1">
        <v>45945</v>
      </c>
      <c r="D394" t="s">
        <v>11</v>
      </c>
      <c r="E394" s="3">
        <v>0.34236111111111112</v>
      </c>
      <c r="F394" s="4">
        <v>0.375</v>
      </c>
      <c r="G394" s="2">
        <v>89.6</v>
      </c>
      <c r="H394" s="5">
        <v>896</v>
      </c>
      <c r="I394" t="s">
        <v>22</v>
      </c>
      <c r="J394">
        <f>HOUR(Table2[[#This Row],[Charging_Start_Time]])</f>
        <v>8</v>
      </c>
    </row>
    <row r="395" spans="1:10" x14ac:dyDescent="0.3">
      <c r="A395" t="s">
        <v>419</v>
      </c>
      <c r="B395" t="s">
        <v>14</v>
      </c>
      <c r="C395" s="1">
        <v>45945</v>
      </c>
      <c r="D395" t="s">
        <v>24</v>
      </c>
      <c r="E395" s="3">
        <v>0.60486111111111107</v>
      </c>
      <c r="F395" s="4">
        <v>0.6645833333333333</v>
      </c>
      <c r="G395" s="2">
        <v>74.400000000000006</v>
      </c>
      <c r="H395" s="5">
        <v>744</v>
      </c>
      <c r="I395" t="s">
        <v>18</v>
      </c>
      <c r="J395">
        <f>HOUR(Table2[[#This Row],[Charging_Start_Time]])</f>
        <v>14</v>
      </c>
    </row>
    <row r="396" spans="1:10" x14ac:dyDescent="0.3">
      <c r="A396" t="s">
        <v>420</v>
      </c>
      <c r="B396" t="s">
        <v>17</v>
      </c>
      <c r="C396" s="1">
        <v>45945</v>
      </c>
      <c r="D396" t="s">
        <v>15</v>
      </c>
      <c r="E396" s="3">
        <v>0.75972222222222219</v>
      </c>
      <c r="F396" s="4">
        <v>0.84791666666666665</v>
      </c>
      <c r="G396" s="2">
        <v>27.2</v>
      </c>
      <c r="H396" s="5">
        <v>272</v>
      </c>
      <c r="I396" t="s">
        <v>22</v>
      </c>
      <c r="J396">
        <f>HOUR(Table2[[#This Row],[Charging_Start_Time]])</f>
        <v>18</v>
      </c>
    </row>
    <row r="397" spans="1:10" x14ac:dyDescent="0.3">
      <c r="A397" t="s">
        <v>421</v>
      </c>
      <c r="B397" t="s">
        <v>10</v>
      </c>
      <c r="C397" s="1">
        <v>45945</v>
      </c>
      <c r="D397" t="s">
        <v>15</v>
      </c>
      <c r="E397" s="3">
        <v>0.2902777777777778</v>
      </c>
      <c r="F397" s="4">
        <v>0.4152777777777778</v>
      </c>
      <c r="G397" s="2">
        <v>77.099999999999994</v>
      </c>
      <c r="H397" s="5">
        <v>771</v>
      </c>
      <c r="I397" t="s">
        <v>22</v>
      </c>
      <c r="J397">
        <f>HOUR(Table2[[#This Row],[Charging_Start_Time]])</f>
        <v>6</v>
      </c>
    </row>
    <row r="398" spans="1:10" x14ac:dyDescent="0.3">
      <c r="A398" t="s">
        <v>422</v>
      </c>
      <c r="B398" t="s">
        <v>26</v>
      </c>
      <c r="C398" s="1">
        <v>45945</v>
      </c>
      <c r="D398" t="s">
        <v>24</v>
      </c>
      <c r="E398" s="3">
        <v>0.52083333333333337</v>
      </c>
      <c r="F398" s="4">
        <v>0.5541666666666667</v>
      </c>
      <c r="G398" s="2">
        <v>21.9</v>
      </c>
      <c r="H398" s="5">
        <v>219</v>
      </c>
      <c r="I398" t="s">
        <v>22</v>
      </c>
      <c r="J398">
        <f>HOUR(Table2[[#This Row],[Charging_Start_Time]])</f>
        <v>12</v>
      </c>
    </row>
    <row r="399" spans="1:10" x14ac:dyDescent="0.3">
      <c r="A399" t="s">
        <v>423</v>
      </c>
      <c r="B399" t="s">
        <v>20</v>
      </c>
      <c r="C399" s="1">
        <v>45945</v>
      </c>
      <c r="D399" t="s">
        <v>15</v>
      </c>
      <c r="E399" s="3">
        <v>0.33055555555555555</v>
      </c>
      <c r="F399" s="4">
        <v>0.44513888888888886</v>
      </c>
      <c r="G399" s="2">
        <v>12.1</v>
      </c>
      <c r="H399" s="5">
        <v>121</v>
      </c>
      <c r="I399" t="s">
        <v>22</v>
      </c>
      <c r="J399">
        <f>HOUR(Table2[[#This Row],[Charging_Start_Time]])</f>
        <v>7</v>
      </c>
    </row>
    <row r="400" spans="1:10" x14ac:dyDescent="0.3">
      <c r="A400" t="s">
        <v>424</v>
      </c>
      <c r="B400" t="s">
        <v>26</v>
      </c>
      <c r="C400" s="1">
        <v>45945</v>
      </c>
      <c r="D400" t="s">
        <v>28</v>
      </c>
      <c r="E400" s="3">
        <v>0.69374999999999998</v>
      </c>
      <c r="F400" s="4">
        <v>0.76458333333333328</v>
      </c>
      <c r="G400" s="2">
        <v>52.4</v>
      </c>
      <c r="H400" s="5">
        <v>524</v>
      </c>
      <c r="I400" t="s">
        <v>18</v>
      </c>
      <c r="J400">
        <f>HOUR(Table2[[#This Row],[Charging_Start_Time]])</f>
        <v>16</v>
      </c>
    </row>
    <row r="401" spans="1:10" x14ac:dyDescent="0.3">
      <c r="A401" t="s">
        <v>425</v>
      </c>
      <c r="B401" t="s">
        <v>20</v>
      </c>
      <c r="C401" s="1">
        <v>45945</v>
      </c>
      <c r="D401" t="s">
        <v>24</v>
      </c>
      <c r="E401" s="3">
        <v>0.45902777777777776</v>
      </c>
      <c r="F401" s="4">
        <v>0.49305555555555558</v>
      </c>
      <c r="G401" s="2">
        <v>48.1</v>
      </c>
      <c r="H401" s="5">
        <v>481</v>
      </c>
      <c r="I401" t="s">
        <v>18</v>
      </c>
      <c r="J401">
        <f>HOUR(Table2[[#This Row],[Charging_Start_Time]])</f>
        <v>11</v>
      </c>
    </row>
    <row r="402" spans="1:10" x14ac:dyDescent="0.3">
      <c r="A402" t="s">
        <v>426</v>
      </c>
      <c r="B402" t="s">
        <v>52</v>
      </c>
      <c r="C402" s="1">
        <v>45945</v>
      </c>
      <c r="D402" t="s">
        <v>28</v>
      </c>
      <c r="E402" s="3">
        <v>0.68333333333333335</v>
      </c>
      <c r="F402" s="4">
        <v>0.78749999999999998</v>
      </c>
      <c r="G402" s="2">
        <v>98.5</v>
      </c>
      <c r="H402" s="5">
        <v>985</v>
      </c>
      <c r="I402" t="s">
        <v>12</v>
      </c>
      <c r="J402">
        <f>HOUR(Table2[[#This Row],[Charging_Start_Time]])</f>
        <v>16</v>
      </c>
    </row>
    <row r="403" spans="1:10" x14ac:dyDescent="0.3">
      <c r="A403" t="s">
        <v>427</v>
      </c>
      <c r="B403" t="s">
        <v>30</v>
      </c>
      <c r="C403" s="1">
        <v>45945</v>
      </c>
      <c r="D403" t="s">
        <v>24</v>
      </c>
      <c r="E403" s="3">
        <v>0.56388888888888888</v>
      </c>
      <c r="F403" s="4">
        <v>0.61597222222222225</v>
      </c>
      <c r="G403" s="2">
        <v>10.3</v>
      </c>
      <c r="H403" s="5">
        <v>103</v>
      </c>
      <c r="I403" t="s">
        <v>22</v>
      </c>
      <c r="J403">
        <f>HOUR(Table2[[#This Row],[Charging_Start_Time]])</f>
        <v>13</v>
      </c>
    </row>
    <row r="404" spans="1:10" x14ac:dyDescent="0.3">
      <c r="A404" t="s">
        <v>428</v>
      </c>
      <c r="B404" t="s">
        <v>33</v>
      </c>
      <c r="C404" s="1">
        <v>45945</v>
      </c>
      <c r="D404" t="s">
        <v>15</v>
      </c>
      <c r="E404" s="3">
        <v>0.46388888888888891</v>
      </c>
      <c r="F404" s="4">
        <v>0.57638888888888884</v>
      </c>
      <c r="G404" s="2">
        <v>50.3</v>
      </c>
      <c r="H404" s="5">
        <v>503</v>
      </c>
      <c r="I404" t="s">
        <v>12</v>
      </c>
      <c r="J404">
        <f>HOUR(Table2[[#This Row],[Charging_Start_Time]])</f>
        <v>11</v>
      </c>
    </row>
    <row r="405" spans="1:10" x14ac:dyDescent="0.3">
      <c r="A405" t="s">
        <v>429</v>
      </c>
      <c r="B405" t="s">
        <v>26</v>
      </c>
      <c r="C405" s="1">
        <v>45945</v>
      </c>
      <c r="D405" t="s">
        <v>11</v>
      </c>
      <c r="E405" s="3">
        <v>0.74097222222222225</v>
      </c>
      <c r="F405" s="4">
        <v>0.84930555555555554</v>
      </c>
      <c r="G405" s="2">
        <v>69.3</v>
      </c>
      <c r="H405" s="5">
        <v>693</v>
      </c>
      <c r="I405" t="s">
        <v>12</v>
      </c>
      <c r="J405">
        <f>HOUR(Table2[[#This Row],[Charging_Start_Time]])</f>
        <v>17</v>
      </c>
    </row>
    <row r="406" spans="1:10" x14ac:dyDescent="0.3">
      <c r="A406" t="s">
        <v>430</v>
      </c>
      <c r="B406" t="s">
        <v>10</v>
      </c>
      <c r="C406" s="1">
        <v>45945</v>
      </c>
      <c r="D406" t="s">
        <v>15</v>
      </c>
      <c r="E406" s="3">
        <v>0.70763888888888893</v>
      </c>
      <c r="F406" s="4">
        <v>0.81805555555555554</v>
      </c>
      <c r="G406" s="2">
        <v>82.1</v>
      </c>
      <c r="H406" s="5">
        <v>821</v>
      </c>
      <c r="I406" t="s">
        <v>22</v>
      </c>
      <c r="J406">
        <f>HOUR(Table2[[#This Row],[Charging_Start_Time]])</f>
        <v>16</v>
      </c>
    </row>
    <row r="407" spans="1:10" x14ac:dyDescent="0.3">
      <c r="A407" t="s">
        <v>431</v>
      </c>
      <c r="B407" t="s">
        <v>20</v>
      </c>
      <c r="C407" s="1">
        <v>45945</v>
      </c>
      <c r="D407" t="s">
        <v>28</v>
      </c>
      <c r="E407" s="3">
        <v>0.61875000000000002</v>
      </c>
      <c r="F407" s="4">
        <v>0.66666666666666663</v>
      </c>
      <c r="G407" s="2">
        <v>23.9</v>
      </c>
      <c r="H407" s="5">
        <v>239</v>
      </c>
      <c r="I407" t="s">
        <v>12</v>
      </c>
      <c r="J407">
        <f>HOUR(Table2[[#This Row],[Charging_Start_Time]])</f>
        <v>14</v>
      </c>
    </row>
    <row r="408" spans="1:10" x14ac:dyDescent="0.3">
      <c r="A408" t="s">
        <v>432</v>
      </c>
      <c r="B408" t="s">
        <v>14</v>
      </c>
      <c r="C408" s="1">
        <v>45945</v>
      </c>
      <c r="D408" t="s">
        <v>11</v>
      </c>
      <c r="E408" s="3">
        <v>0.76597222222222228</v>
      </c>
      <c r="F408" s="4">
        <v>0.84027777777777779</v>
      </c>
      <c r="G408" s="2">
        <v>61.5</v>
      </c>
      <c r="H408" s="5">
        <v>615</v>
      </c>
      <c r="I408" t="s">
        <v>18</v>
      </c>
      <c r="J408">
        <f>HOUR(Table2[[#This Row],[Charging_Start_Time]])</f>
        <v>18</v>
      </c>
    </row>
    <row r="409" spans="1:10" x14ac:dyDescent="0.3">
      <c r="A409" t="s">
        <v>433</v>
      </c>
      <c r="B409" t="s">
        <v>37</v>
      </c>
      <c r="C409" s="1">
        <v>45945</v>
      </c>
      <c r="D409" t="s">
        <v>24</v>
      </c>
      <c r="E409" s="3">
        <v>0.3611111111111111</v>
      </c>
      <c r="F409" s="4">
        <v>0.43888888888888888</v>
      </c>
      <c r="G409" s="2">
        <v>27.1</v>
      </c>
      <c r="H409" s="5">
        <v>271</v>
      </c>
      <c r="I409" t="s">
        <v>22</v>
      </c>
      <c r="J409">
        <f>HOUR(Table2[[#This Row],[Charging_Start_Time]])</f>
        <v>8</v>
      </c>
    </row>
    <row r="410" spans="1:10" x14ac:dyDescent="0.3">
      <c r="A410" t="s">
        <v>434</v>
      </c>
      <c r="B410" t="s">
        <v>30</v>
      </c>
      <c r="C410" s="1">
        <v>45945</v>
      </c>
      <c r="D410" t="s">
        <v>24</v>
      </c>
      <c r="E410" s="3">
        <v>0.87083333333333335</v>
      </c>
      <c r="F410" s="4">
        <v>0.95277777777777772</v>
      </c>
      <c r="G410" s="2">
        <v>76.3</v>
      </c>
      <c r="H410" s="5">
        <v>763</v>
      </c>
      <c r="I410" t="s">
        <v>18</v>
      </c>
      <c r="J410">
        <f>HOUR(Table2[[#This Row],[Charging_Start_Time]])</f>
        <v>20</v>
      </c>
    </row>
    <row r="411" spans="1:10" x14ac:dyDescent="0.3">
      <c r="A411" t="s">
        <v>435</v>
      </c>
      <c r="B411" t="s">
        <v>33</v>
      </c>
      <c r="C411" s="1">
        <v>45945</v>
      </c>
      <c r="D411" t="s">
        <v>11</v>
      </c>
      <c r="E411" s="3">
        <v>0.59305555555555556</v>
      </c>
      <c r="F411" s="4">
        <v>0.65902777777777777</v>
      </c>
      <c r="G411" s="2">
        <v>27.4</v>
      </c>
      <c r="H411" s="5">
        <v>274</v>
      </c>
      <c r="I411" t="s">
        <v>12</v>
      </c>
      <c r="J411">
        <f>HOUR(Table2[[#This Row],[Charging_Start_Time]])</f>
        <v>14</v>
      </c>
    </row>
    <row r="412" spans="1:10" x14ac:dyDescent="0.3">
      <c r="A412" t="s">
        <v>436</v>
      </c>
      <c r="B412" t="s">
        <v>14</v>
      </c>
      <c r="C412" s="1">
        <v>45945</v>
      </c>
      <c r="D412" t="s">
        <v>28</v>
      </c>
      <c r="E412" s="3">
        <v>0.59027777777777779</v>
      </c>
      <c r="F412" s="4">
        <v>0.64444444444444449</v>
      </c>
      <c r="G412" s="2">
        <v>19.2</v>
      </c>
      <c r="H412" s="5">
        <v>192</v>
      </c>
      <c r="I412" t="s">
        <v>18</v>
      </c>
      <c r="J412">
        <f>HOUR(Table2[[#This Row],[Charging_Start_Time]])</f>
        <v>14</v>
      </c>
    </row>
    <row r="413" spans="1:10" x14ac:dyDescent="0.3">
      <c r="A413" t="s">
        <v>437</v>
      </c>
      <c r="B413" t="s">
        <v>14</v>
      </c>
      <c r="C413" s="1">
        <v>45945</v>
      </c>
      <c r="D413" t="s">
        <v>24</v>
      </c>
      <c r="E413" s="3">
        <v>0.27638888888888891</v>
      </c>
      <c r="F413" s="4">
        <v>0.39583333333333331</v>
      </c>
      <c r="G413" s="2">
        <v>62.4</v>
      </c>
      <c r="H413" s="5">
        <v>624</v>
      </c>
      <c r="I413" t="s">
        <v>22</v>
      </c>
      <c r="J413">
        <f>HOUR(Table2[[#This Row],[Charging_Start_Time]])</f>
        <v>6</v>
      </c>
    </row>
    <row r="414" spans="1:10" x14ac:dyDescent="0.3">
      <c r="A414" t="s">
        <v>438</v>
      </c>
      <c r="B414" t="s">
        <v>33</v>
      </c>
      <c r="C414" s="1">
        <v>45945</v>
      </c>
      <c r="D414" t="s">
        <v>15</v>
      </c>
      <c r="E414" s="3">
        <v>0.81874999999999998</v>
      </c>
      <c r="F414" s="4">
        <v>0.84861111111111109</v>
      </c>
      <c r="G414" s="2">
        <v>11</v>
      </c>
      <c r="H414" s="5">
        <v>110</v>
      </c>
      <c r="I414" t="s">
        <v>12</v>
      </c>
      <c r="J414">
        <f>HOUR(Table2[[#This Row],[Charging_Start_Time]])</f>
        <v>19</v>
      </c>
    </row>
    <row r="415" spans="1:10" x14ac:dyDescent="0.3">
      <c r="A415" t="s">
        <v>439</v>
      </c>
      <c r="B415" t="s">
        <v>33</v>
      </c>
      <c r="C415" s="1">
        <v>45945</v>
      </c>
      <c r="D415" t="s">
        <v>28</v>
      </c>
      <c r="E415" s="3">
        <v>0.37777777777777777</v>
      </c>
      <c r="F415" s="4">
        <v>0.49027777777777776</v>
      </c>
      <c r="G415" s="2">
        <v>14.4</v>
      </c>
      <c r="H415" s="5">
        <v>144</v>
      </c>
      <c r="I415" t="s">
        <v>22</v>
      </c>
      <c r="J415">
        <f>HOUR(Table2[[#This Row],[Charging_Start_Time]])</f>
        <v>9</v>
      </c>
    </row>
    <row r="416" spans="1:10" x14ac:dyDescent="0.3">
      <c r="A416" t="s">
        <v>440</v>
      </c>
      <c r="B416" t="s">
        <v>30</v>
      </c>
      <c r="C416" s="1">
        <v>45945</v>
      </c>
      <c r="D416" t="s">
        <v>28</v>
      </c>
      <c r="E416" s="3">
        <v>0.35902777777777778</v>
      </c>
      <c r="F416" s="4">
        <v>0.40763888888888888</v>
      </c>
      <c r="G416" s="2">
        <v>30</v>
      </c>
      <c r="H416" s="5">
        <v>300</v>
      </c>
      <c r="I416" t="s">
        <v>22</v>
      </c>
      <c r="J416">
        <f>HOUR(Table2[[#This Row],[Charging_Start_Time]])</f>
        <v>8</v>
      </c>
    </row>
    <row r="417" spans="1:10" x14ac:dyDescent="0.3">
      <c r="A417" t="s">
        <v>441</v>
      </c>
      <c r="B417" t="s">
        <v>30</v>
      </c>
      <c r="C417" s="1">
        <v>45945</v>
      </c>
      <c r="D417" t="s">
        <v>24</v>
      </c>
      <c r="E417" s="3">
        <v>0.6</v>
      </c>
      <c r="F417" s="4">
        <v>0.65625</v>
      </c>
      <c r="G417" s="2">
        <v>22.1</v>
      </c>
      <c r="H417" s="5">
        <v>221</v>
      </c>
      <c r="I417" t="s">
        <v>22</v>
      </c>
      <c r="J417">
        <f>HOUR(Table2[[#This Row],[Charging_Start_Time]])</f>
        <v>14</v>
      </c>
    </row>
    <row r="418" spans="1:10" x14ac:dyDescent="0.3">
      <c r="A418" t="s">
        <v>442</v>
      </c>
      <c r="B418" t="s">
        <v>10</v>
      </c>
      <c r="C418" s="1">
        <v>45945</v>
      </c>
      <c r="D418" t="s">
        <v>24</v>
      </c>
      <c r="E418" s="3">
        <v>0.81736111111111109</v>
      </c>
      <c r="F418" s="4">
        <v>0.85416666666666663</v>
      </c>
      <c r="G418" s="2">
        <v>81.7</v>
      </c>
      <c r="H418" s="5">
        <v>817</v>
      </c>
      <c r="I418" t="s">
        <v>18</v>
      </c>
      <c r="J418">
        <f>HOUR(Table2[[#This Row],[Charging_Start_Time]])</f>
        <v>19</v>
      </c>
    </row>
    <row r="419" spans="1:10" x14ac:dyDescent="0.3">
      <c r="A419" t="s">
        <v>443</v>
      </c>
      <c r="B419" t="s">
        <v>20</v>
      </c>
      <c r="C419" s="1">
        <v>45945</v>
      </c>
      <c r="D419" t="s">
        <v>11</v>
      </c>
      <c r="E419" s="3">
        <v>0.36180555555555555</v>
      </c>
      <c r="F419" s="4">
        <v>0.40208333333333335</v>
      </c>
      <c r="G419" s="2">
        <v>7.8</v>
      </c>
      <c r="H419" s="5">
        <v>78</v>
      </c>
      <c r="I419" t="s">
        <v>22</v>
      </c>
      <c r="J419">
        <f>HOUR(Table2[[#This Row],[Charging_Start_Time]])</f>
        <v>8</v>
      </c>
    </row>
    <row r="420" spans="1:10" x14ac:dyDescent="0.3">
      <c r="A420" t="s">
        <v>444</v>
      </c>
      <c r="B420" t="s">
        <v>17</v>
      </c>
      <c r="C420" s="1">
        <v>45945</v>
      </c>
      <c r="D420" t="s">
        <v>28</v>
      </c>
      <c r="E420" s="3">
        <v>0.6430555555555556</v>
      </c>
      <c r="F420" s="4">
        <v>0.67361111111111116</v>
      </c>
      <c r="G420" s="2">
        <v>16.7</v>
      </c>
      <c r="H420" s="5">
        <v>167</v>
      </c>
      <c r="I420" t="s">
        <v>18</v>
      </c>
      <c r="J420">
        <f>HOUR(Table2[[#This Row],[Charging_Start_Time]])</f>
        <v>15</v>
      </c>
    </row>
    <row r="421" spans="1:10" x14ac:dyDescent="0.3">
      <c r="A421" t="s">
        <v>445</v>
      </c>
      <c r="B421" t="s">
        <v>26</v>
      </c>
      <c r="C421" s="1">
        <v>45945</v>
      </c>
      <c r="D421" t="s">
        <v>11</v>
      </c>
      <c r="E421" s="3">
        <v>0.35138888888888886</v>
      </c>
      <c r="F421" s="4">
        <v>0.37430555555555556</v>
      </c>
      <c r="G421" s="2">
        <v>32.5</v>
      </c>
      <c r="H421" s="5">
        <v>325</v>
      </c>
      <c r="I421" t="s">
        <v>12</v>
      </c>
      <c r="J421">
        <f>HOUR(Table2[[#This Row],[Charging_Start_Time]])</f>
        <v>8</v>
      </c>
    </row>
    <row r="422" spans="1:10" x14ac:dyDescent="0.3">
      <c r="A422" t="s">
        <v>446</v>
      </c>
      <c r="B422" t="s">
        <v>26</v>
      </c>
      <c r="C422" s="1">
        <v>45945</v>
      </c>
      <c r="D422" t="s">
        <v>11</v>
      </c>
      <c r="E422" s="3">
        <v>0.74375000000000002</v>
      </c>
      <c r="F422" s="4">
        <v>0.86805555555555558</v>
      </c>
      <c r="G422" s="2">
        <v>73.2</v>
      </c>
      <c r="H422" s="5">
        <v>732</v>
      </c>
      <c r="I422" t="s">
        <v>18</v>
      </c>
      <c r="J422">
        <f>HOUR(Table2[[#This Row],[Charging_Start_Time]])</f>
        <v>17</v>
      </c>
    </row>
    <row r="423" spans="1:10" x14ac:dyDescent="0.3">
      <c r="A423" t="s">
        <v>447</v>
      </c>
      <c r="B423" t="s">
        <v>33</v>
      </c>
      <c r="C423" s="1">
        <v>45945</v>
      </c>
      <c r="D423" t="s">
        <v>28</v>
      </c>
      <c r="E423" s="3">
        <v>0.72847222222222219</v>
      </c>
      <c r="F423" s="4">
        <v>0.81388888888888888</v>
      </c>
      <c r="G423" s="2">
        <v>49.6</v>
      </c>
      <c r="H423" s="5">
        <v>496</v>
      </c>
      <c r="I423" t="s">
        <v>18</v>
      </c>
      <c r="J423">
        <f>HOUR(Table2[[#This Row],[Charging_Start_Time]])</f>
        <v>17</v>
      </c>
    </row>
    <row r="424" spans="1:10" x14ac:dyDescent="0.3">
      <c r="A424" t="s">
        <v>448</v>
      </c>
      <c r="B424" t="s">
        <v>52</v>
      </c>
      <c r="C424" s="1">
        <v>45945</v>
      </c>
      <c r="D424" t="s">
        <v>24</v>
      </c>
      <c r="E424" s="3">
        <v>0.53888888888888886</v>
      </c>
      <c r="F424" s="4">
        <v>0.60972222222222228</v>
      </c>
      <c r="G424" s="2">
        <v>65.8</v>
      </c>
      <c r="H424" s="5">
        <v>658</v>
      </c>
      <c r="I424" t="s">
        <v>12</v>
      </c>
      <c r="J424">
        <f>HOUR(Table2[[#This Row],[Charging_Start_Time]])</f>
        <v>12</v>
      </c>
    </row>
    <row r="425" spans="1:10" x14ac:dyDescent="0.3">
      <c r="A425" t="s">
        <v>449</v>
      </c>
      <c r="B425" t="s">
        <v>52</v>
      </c>
      <c r="C425" s="1">
        <v>45945</v>
      </c>
      <c r="D425" t="s">
        <v>24</v>
      </c>
      <c r="E425" s="3">
        <v>0.72152777777777777</v>
      </c>
      <c r="F425" s="4">
        <v>0.75347222222222221</v>
      </c>
      <c r="G425" s="2">
        <v>8.6999999999999993</v>
      </c>
      <c r="H425" s="5">
        <v>87</v>
      </c>
      <c r="I425" t="s">
        <v>22</v>
      </c>
      <c r="J425">
        <f>HOUR(Table2[[#This Row],[Charging_Start_Time]])</f>
        <v>17</v>
      </c>
    </row>
    <row r="426" spans="1:10" x14ac:dyDescent="0.3">
      <c r="A426" t="s">
        <v>450</v>
      </c>
      <c r="B426" t="s">
        <v>30</v>
      </c>
      <c r="C426" s="1">
        <v>45945</v>
      </c>
      <c r="D426" t="s">
        <v>24</v>
      </c>
      <c r="E426" s="3">
        <v>0.2902777777777778</v>
      </c>
      <c r="F426" s="4">
        <v>0.33124999999999999</v>
      </c>
      <c r="G426" s="2">
        <v>88.7</v>
      </c>
      <c r="H426" s="5">
        <v>887</v>
      </c>
      <c r="I426" t="s">
        <v>22</v>
      </c>
      <c r="J426">
        <f>HOUR(Table2[[#This Row],[Charging_Start_Time]])</f>
        <v>6</v>
      </c>
    </row>
    <row r="427" spans="1:10" x14ac:dyDescent="0.3">
      <c r="A427" t="s">
        <v>451</v>
      </c>
      <c r="B427" t="s">
        <v>52</v>
      </c>
      <c r="C427" s="1">
        <v>45945</v>
      </c>
      <c r="D427" t="s">
        <v>28</v>
      </c>
      <c r="E427" s="3">
        <v>0.26250000000000001</v>
      </c>
      <c r="F427" s="4">
        <v>0.36805555555555558</v>
      </c>
      <c r="G427" s="2">
        <v>84.2</v>
      </c>
      <c r="H427" s="5">
        <v>842</v>
      </c>
      <c r="I427" t="s">
        <v>22</v>
      </c>
      <c r="J427">
        <f>HOUR(Table2[[#This Row],[Charging_Start_Time]])</f>
        <v>6</v>
      </c>
    </row>
    <row r="428" spans="1:10" x14ac:dyDescent="0.3">
      <c r="A428" t="s">
        <v>452</v>
      </c>
      <c r="B428" t="s">
        <v>33</v>
      </c>
      <c r="C428" s="1">
        <v>45945</v>
      </c>
      <c r="D428" t="s">
        <v>11</v>
      </c>
      <c r="E428" s="3">
        <v>0.55625000000000002</v>
      </c>
      <c r="F428" s="4">
        <v>0.61944444444444446</v>
      </c>
      <c r="G428" s="2">
        <v>28.5</v>
      </c>
      <c r="H428" s="5">
        <v>285</v>
      </c>
      <c r="I428" t="s">
        <v>18</v>
      </c>
      <c r="J428">
        <f>HOUR(Table2[[#This Row],[Charging_Start_Time]])</f>
        <v>13</v>
      </c>
    </row>
    <row r="429" spans="1:10" x14ac:dyDescent="0.3">
      <c r="A429" t="s">
        <v>453</v>
      </c>
      <c r="B429" t="s">
        <v>26</v>
      </c>
      <c r="C429" s="1">
        <v>45945</v>
      </c>
      <c r="D429" t="s">
        <v>24</v>
      </c>
      <c r="E429" s="3">
        <v>0.2638888888888889</v>
      </c>
      <c r="F429" s="4">
        <v>0.3125</v>
      </c>
      <c r="G429" s="2">
        <v>99.3</v>
      </c>
      <c r="H429" s="5">
        <v>993</v>
      </c>
      <c r="I429" t="s">
        <v>22</v>
      </c>
      <c r="J429">
        <f>HOUR(Table2[[#This Row],[Charging_Start_Time]])</f>
        <v>6</v>
      </c>
    </row>
    <row r="430" spans="1:10" x14ac:dyDescent="0.3">
      <c r="A430" t="s">
        <v>454</v>
      </c>
      <c r="B430" t="s">
        <v>37</v>
      </c>
      <c r="C430" s="1">
        <v>45945</v>
      </c>
      <c r="D430" t="s">
        <v>15</v>
      </c>
      <c r="E430" s="3">
        <v>0.31527777777777777</v>
      </c>
      <c r="F430" s="4">
        <v>0.34791666666666665</v>
      </c>
      <c r="G430" s="2">
        <v>90.3</v>
      </c>
      <c r="H430" s="5">
        <v>903</v>
      </c>
      <c r="I430" t="s">
        <v>12</v>
      </c>
      <c r="J430">
        <f>HOUR(Table2[[#This Row],[Charging_Start_Time]])</f>
        <v>7</v>
      </c>
    </row>
    <row r="431" spans="1:10" x14ac:dyDescent="0.3">
      <c r="A431" t="s">
        <v>455</v>
      </c>
      <c r="B431" t="s">
        <v>10</v>
      </c>
      <c r="C431" s="1">
        <v>45945</v>
      </c>
      <c r="D431" t="s">
        <v>28</v>
      </c>
      <c r="E431" s="3">
        <v>0.25763888888888886</v>
      </c>
      <c r="F431" s="4">
        <v>0.34166666666666667</v>
      </c>
      <c r="G431" s="2">
        <v>76</v>
      </c>
      <c r="H431" s="5">
        <v>760</v>
      </c>
      <c r="I431" t="s">
        <v>22</v>
      </c>
      <c r="J431">
        <f>HOUR(Table2[[#This Row],[Charging_Start_Time]])</f>
        <v>6</v>
      </c>
    </row>
    <row r="432" spans="1:10" x14ac:dyDescent="0.3">
      <c r="A432" t="s">
        <v>456</v>
      </c>
      <c r="B432" t="s">
        <v>52</v>
      </c>
      <c r="C432" s="1">
        <v>45945</v>
      </c>
      <c r="D432" t="s">
        <v>15</v>
      </c>
      <c r="E432" s="3">
        <v>0.40555555555555556</v>
      </c>
      <c r="F432" s="4">
        <v>0.53055555555555556</v>
      </c>
      <c r="G432" s="2">
        <v>87.2</v>
      </c>
      <c r="H432" s="5">
        <v>872</v>
      </c>
      <c r="I432" t="s">
        <v>18</v>
      </c>
      <c r="J432">
        <f>HOUR(Table2[[#This Row],[Charging_Start_Time]])</f>
        <v>9</v>
      </c>
    </row>
    <row r="433" spans="1:10" x14ac:dyDescent="0.3">
      <c r="A433" t="s">
        <v>457</v>
      </c>
      <c r="B433" t="s">
        <v>37</v>
      </c>
      <c r="C433" s="1">
        <v>45945</v>
      </c>
      <c r="D433" t="s">
        <v>24</v>
      </c>
      <c r="E433" s="3">
        <v>0.28819444444444442</v>
      </c>
      <c r="F433" s="4">
        <v>0.32222222222222224</v>
      </c>
      <c r="G433" s="2">
        <v>13.2</v>
      </c>
      <c r="H433" s="5">
        <v>132</v>
      </c>
      <c r="I433" t="s">
        <v>22</v>
      </c>
      <c r="J433">
        <f>HOUR(Table2[[#This Row],[Charging_Start_Time]])</f>
        <v>6</v>
      </c>
    </row>
    <row r="434" spans="1:10" x14ac:dyDescent="0.3">
      <c r="A434" t="s">
        <v>458</v>
      </c>
      <c r="B434" t="s">
        <v>30</v>
      </c>
      <c r="C434" s="1">
        <v>45945</v>
      </c>
      <c r="D434" t="s">
        <v>24</v>
      </c>
      <c r="E434" s="3">
        <v>0.28888888888888886</v>
      </c>
      <c r="F434" s="4">
        <v>0.36388888888888887</v>
      </c>
      <c r="G434" s="2">
        <v>69.400000000000006</v>
      </c>
      <c r="H434" s="5">
        <v>694</v>
      </c>
      <c r="I434" t="s">
        <v>12</v>
      </c>
      <c r="J434">
        <f>HOUR(Table2[[#This Row],[Charging_Start_Time]])</f>
        <v>6</v>
      </c>
    </row>
    <row r="435" spans="1:10" x14ac:dyDescent="0.3">
      <c r="A435" t="s">
        <v>459</v>
      </c>
      <c r="B435" t="s">
        <v>17</v>
      </c>
      <c r="C435" s="1">
        <v>45945</v>
      </c>
      <c r="D435" t="s">
        <v>24</v>
      </c>
      <c r="E435" s="3">
        <v>0.8256944444444444</v>
      </c>
      <c r="F435" s="4">
        <v>0.91736111111111107</v>
      </c>
      <c r="G435" s="2">
        <v>77.400000000000006</v>
      </c>
      <c r="H435" s="5">
        <v>774</v>
      </c>
      <c r="I435" t="s">
        <v>22</v>
      </c>
      <c r="J435">
        <f>HOUR(Table2[[#This Row],[Charging_Start_Time]])</f>
        <v>19</v>
      </c>
    </row>
    <row r="436" spans="1:10" x14ac:dyDescent="0.3">
      <c r="A436" t="s">
        <v>460</v>
      </c>
      <c r="B436" t="s">
        <v>37</v>
      </c>
      <c r="C436" s="1">
        <v>45945</v>
      </c>
      <c r="D436" t="s">
        <v>15</v>
      </c>
      <c r="E436" s="3">
        <v>0.38124999999999998</v>
      </c>
      <c r="F436" s="4">
        <v>0.44027777777777777</v>
      </c>
      <c r="G436" s="2">
        <v>38.4</v>
      </c>
      <c r="H436" s="5">
        <v>384</v>
      </c>
      <c r="I436" t="s">
        <v>22</v>
      </c>
      <c r="J436">
        <f>HOUR(Table2[[#This Row],[Charging_Start_Time]])</f>
        <v>9</v>
      </c>
    </row>
    <row r="437" spans="1:10" x14ac:dyDescent="0.3">
      <c r="A437" t="s">
        <v>461</v>
      </c>
      <c r="B437" t="s">
        <v>17</v>
      </c>
      <c r="C437" s="1">
        <v>45945</v>
      </c>
      <c r="D437" t="s">
        <v>24</v>
      </c>
      <c r="E437" s="3">
        <v>0.42291666666666666</v>
      </c>
      <c r="F437" s="4">
        <v>0.53888888888888886</v>
      </c>
      <c r="G437" s="2">
        <v>82.1</v>
      </c>
      <c r="H437" s="5">
        <v>821</v>
      </c>
      <c r="I437" t="s">
        <v>12</v>
      </c>
      <c r="J437">
        <f>HOUR(Table2[[#This Row],[Charging_Start_Time]])</f>
        <v>10</v>
      </c>
    </row>
    <row r="438" spans="1:10" x14ac:dyDescent="0.3">
      <c r="A438" t="s">
        <v>462</v>
      </c>
      <c r="B438" t="s">
        <v>33</v>
      </c>
      <c r="C438" s="1">
        <v>45945</v>
      </c>
      <c r="D438" t="s">
        <v>24</v>
      </c>
      <c r="E438" s="3">
        <v>0.76875000000000004</v>
      </c>
      <c r="F438" s="4">
        <v>0.79791666666666672</v>
      </c>
      <c r="G438" s="2">
        <v>98.2</v>
      </c>
      <c r="H438" s="5">
        <v>982</v>
      </c>
      <c r="I438" t="s">
        <v>22</v>
      </c>
      <c r="J438">
        <f>HOUR(Table2[[#This Row],[Charging_Start_Time]])</f>
        <v>18</v>
      </c>
    </row>
    <row r="439" spans="1:10" x14ac:dyDescent="0.3">
      <c r="A439" t="s">
        <v>463</v>
      </c>
      <c r="B439" t="s">
        <v>20</v>
      </c>
      <c r="C439" s="1">
        <v>45945</v>
      </c>
      <c r="D439" t="s">
        <v>24</v>
      </c>
      <c r="E439" s="3">
        <v>0.3923611111111111</v>
      </c>
      <c r="F439" s="4">
        <v>0.50555555555555554</v>
      </c>
      <c r="G439" s="2">
        <v>73.7</v>
      </c>
      <c r="H439" s="5">
        <v>737</v>
      </c>
      <c r="I439" t="s">
        <v>22</v>
      </c>
      <c r="J439">
        <f>HOUR(Table2[[#This Row],[Charging_Start_Time]])</f>
        <v>9</v>
      </c>
    </row>
    <row r="440" spans="1:10" x14ac:dyDescent="0.3">
      <c r="A440" t="s">
        <v>464</v>
      </c>
      <c r="B440" t="s">
        <v>14</v>
      </c>
      <c r="C440" s="1">
        <v>45945</v>
      </c>
      <c r="D440" t="s">
        <v>28</v>
      </c>
      <c r="E440" s="3">
        <v>0.43472222222222223</v>
      </c>
      <c r="F440" s="4">
        <v>0.54305555555555551</v>
      </c>
      <c r="G440" s="2">
        <v>79</v>
      </c>
      <c r="H440" s="5">
        <v>790</v>
      </c>
      <c r="I440" t="s">
        <v>22</v>
      </c>
      <c r="J440">
        <f>HOUR(Table2[[#This Row],[Charging_Start_Time]])</f>
        <v>10</v>
      </c>
    </row>
    <row r="441" spans="1:10" x14ac:dyDescent="0.3">
      <c r="A441" t="s">
        <v>465</v>
      </c>
      <c r="B441" t="s">
        <v>26</v>
      </c>
      <c r="C441" s="1">
        <v>45945</v>
      </c>
      <c r="D441" t="s">
        <v>28</v>
      </c>
      <c r="E441" s="3">
        <v>0.76666666666666672</v>
      </c>
      <c r="F441" s="4">
        <v>0.83958333333333335</v>
      </c>
      <c r="G441" s="2">
        <v>41.8</v>
      </c>
      <c r="H441" s="5">
        <v>418</v>
      </c>
      <c r="I441" t="s">
        <v>12</v>
      </c>
      <c r="J441">
        <f>HOUR(Table2[[#This Row],[Charging_Start_Time]])</f>
        <v>18</v>
      </c>
    </row>
    <row r="442" spans="1:10" x14ac:dyDescent="0.3">
      <c r="A442" t="s">
        <v>466</v>
      </c>
      <c r="B442" t="s">
        <v>33</v>
      </c>
      <c r="C442" s="1">
        <v>45945</v>
      </c>
      <c r="D442" t="s">
        <v>24</v>
      </c>
      <c r="E442" s="3">
        <v>0.72430555555555554</v>
      </c>
      <c r="F442" s="4">
        <v>0.81597222222222221</v>
      </c>
      <c r="G442" s="2">
        <v>99.9</v>
      </c>
      <c r="H442" s="5">
        <v>999</v>
      </c>
      <c r="I442" t="s">
        <v>18</v>
      </c>
      <c r="J442">
        <f>HOUR(Table2[[#This Row],[Charging_Start_Time]])</f>
        <v>17</v>
      </c>
    </row>
    <row r="443" spans="1:10" x14ac:dyDescent="0.3">
      <c r="A443" t="s">
        <v>467</v>
      </c>
      <c r="B443" t="s">
        <v>52</v>
      </c>
      <c r="C443" s="1">
        <v>45945</v>
      </c>
      <c r="D443" t="s">
        <v>24</v>
      </c>
      <c r="E443" s="3">
        <v>0.56458333333333333</v>
      </c>
      <c r="F443" s="4">
        <v>0.59444444444444444</v>
      </c>
      <c r="G443" s="2">
        <v>69.099999999999994</v>
      </c>
      <c r="H443" s="5">
        <v>691</v>
      </c>
      <c r="I443" t="s">
        <v>22</v>
      </c>
      <c r="J443">
        <f>HOUR(Table2[[#This Row],[Charging_Start_Time]])</f>
        <v>13</v>
      </c>
    </row>
    <row r="444" spans="1:10" x14ac:dyDescent="0.3">
      <c r="A444" t="s">
        <v>468</v>
      </c>
      <c r="B444" t="s">
        <v>10</v>
      </c>
      <c r="C444" s="1">
        <v>45945</v>
      </c>
      <c r="D444" t="s">
        <v>15</v>
      </c>
      <c r="E444" s="3">
        <v>0.60624999999999996</v>
      </c>
      <c r="F444" s="4">
        <v>0.67638888888888893</v>
      </c>
      <c r="G444" s="2">
        <v>99.8</v>
      </c>
      <c r="H444" s="5">
        <v>998</v>
      </c>
      <c r="I444" t="s">
        <v>12</v>
      </c>
      <c r="J444">
        <f>HOUR(Table2[[#This Row],[Charging_Start_Time]])</f>
        <v>14</v>
      </c>
    </row>
    <row r="445" spans="1:10" x14ac:dyDescent="0.3">
      <c r="A445" t="s">
        <v>469</v>
      </c>
      <c r="B445" t="s">
        <v>14</v>
      </c>
      <c r="C445" s="1">
        <v>45945</v>
      </c>
      <c r="D445" t="s">
        <v>28</v>
      </c>
      <c r="E445" s="3">
        <v>0.60763888888888884</v>
      </c>
      <c r="F445" s="4">
        <v>0.68611111111111112</v>
      </c>
      <c r="G445" s="2">
        <v>37.299999999999997</v>
      </c>
      <c r="H445" s="5">
        <v>373</v>
      </c>
      <c r="I445" t="s">
        <v>18</v>
      </c>
      <c r="J445">
        <f>HOUR(Table2[[#This Row],[Charging_Start_Time]])</f>
        <v>14</v>
      </c>
    </row>
    <row r="446" spans="1:10" x14ac:dyDescent="0.3">
      <c r="A446" t="s">
        <v>470</v>
      </c>
      <c r="B446" t="s">
        <v>26</v>
      </c>
      <c r="C446" s="1">
        <v>45945</v>
      </c>
      <c r="D446" t="s">
        <v>15</v>
      </c>
      <c r="E446" s="3">
        <v>0.80138888888888893</v>
      </c>
      <c r="F446" s="4">
        <v>0.84444444444444444</v>
      </c>
      <c r="G446" s="2">
        <v>97.5</v>
      </c>
      <c r="H446" s="5">
        <v>975</v>
      </c>
      <c r="I446" t="s">
        <v>18</v>
      </c>
      <c r="J446">
        <f>HOUR(Table2[[#This Row],[Charging_Start_Time]])</f>
        <v>19</v>
      </c>
    </row>
    <row r="447" spans="1:10" x14ac:dyDescent="0.3">
      <c r="A447" t="s">
        <v>471</v>
      </c>
      <c r="B447" t="s">
        <v>40</v>
      </c>
      <c r="C447" s="1">
        <v>45945</v>
      </c>
      <c r="D447" t="s">
        <v>15</v>
      </c>
      <c r="E447" s="3">
        <v>0.66319444444444442</v>
      </c>
      <c r="F447" s="4">
        <v>0.7729166666666667</v>
      </c>
      <c r="G447" s="2">
        <v>54.7</v>
      </c>
      <c r="H447" s="5">
        <v>547</v>
      </c>
      <c r="I447" t="s">
        <v>18</v>
      </c>
      <c r="J447">
        <f>HOUR(Table2[[#This Row],[Charging_Start_Time]])</f>
        <v>15</v>
      </c>
    </row>
    <row r="448" spans="1:10" x14ac:dyDescent="0.3">
      <c r="A448" t="s">
        <v>472</v>
      </c>
      <c r="B448" t="s">
        <v>33</v>
      </c>
      <c r="C448" s="1">
        <v>45945</v>
      </c>
      <c r="D448" t="s">
        <v>15</v>
      </c>
      <c r="E448" s="3">
        <v>0.71250000000000002</v>
      </c>
      <c r="F448" s="4">
        <v>0.77222222222222225</v>
      </c>
      <c r="G448" s="2">
        <v>83.2</v>
      </c>
      <c r="H448" s="5">
        <v>832</v>
      </c>
      <c r="I448" t="s">
        <v>22</v>
      </c>
      <c r="J448">
        <f>HOUR(Table2[[#This Row],[Charging_Start_Time]])</f>
        <v>17</v>
      </c>
    </row>
    <row r="449" spans="1:10" x14ac:dyDescent="0.3">
      <c r="A449" t="s">
        <v>473</v>
      </c>
      <c r="B449" t="s">
        <v>14</v>
      </c>
      <c r="C449" s="1">
        <v>45945</v>
      </c>
      <c r="D449" t="s">
        <v>28</v>
      </c>
      <c r="E449" s="3">
        <v>0.73819444444444449</v>
      </c>
      <c r="F449" s="4">
        <v>0.80902777777777779</v>
      </c>
      <c r="G449" s="2">
        <v>65.7</v>
      </c>
      <c r="H449" s="5">
        <v>657</v>
      </c>
      <c r="I449" t="s">
        <v>12</v>
      </c>
      <c r="J449">
        <f>HOUR(Table2[[#This Row],[Charging_Start_Time]])</f>
        <v>17</v>
      </c>
    </row>
    <row r="450" spans="1:10" x14ac:dyDescent="0.3">
      <c r="A450" t="s">
        <v>474</v>
      </c>
      <c r="B450" t="s">
        <v>26</v>
      </c>
      <c r="C450" s="1">
        <v>45945</v>
      </c>
      <c r="D450" t="s">
        <v>15</v>
      </c>
      <c r="E450" s="3">
        <v>0.30902777777777779</v>
      </c>
      <c r="F450" s="4">
        <v>0.41319444444444442</v>
      </c>
      <c r="G450" s="2">
        <v>10.6</v>
      </c>
      <c r="H450" s="5">
        <v>106</v>
      </c>
      <c r="I450" t="s">
        <v>18</v>
      </c>
      <c r="J450">
        <f>HOUR(Table2[[#This Row],[Charging_Start_Time]])</f>
        <v>7</v>
      </c>
    </row>
    <row r="451" spans="1:10" x14ac:dyDescent="0.3">
      <c r="A451" t="s">
        <v>475</v>
      </c>
      <c r="B451" t="s">
        <v>37</v>
      </c>
      <c r="C451" s="1">
        <v>45945</v>
      </c>
      <c r="D451" t="s">
        <v>28</v>
      </c>
      <c r="E451" s="3">
        <v>0.34305555555555556</v>
      </c>
      <c r="F451" s="4">
        <v>0.43819444444444444</v>
      </c>
      <c r="G451" s="2">
        <v>79.599999999999994</v>
      </c>
      <c r="H451" s="5">
        <v>796</v>
      </c>
      <c r="I451" t="s">
        <v>12</v>
      </c>
      <c r="J451">
        <f>HOUR(Table2[[#This Row],[Charging_Start_Time]])</f>
        <v>8</v>
      </c>
    </row>
    <row r="452" spans="1:10" x14ac:dyDescent="0.3">
      <c r="A452" t="s">
        <v>476</v>
      </c>
      <c r="B452" t="s">
        <v>26</v>
      </c>
      <c r="C452" s="1">
        <v>45945</v>
      </c>
      <c r="D452" t="s">
        <v>15</v>
      </c>
      <c r="E452" s="3">
        <v>0.72222222222222221</v>
      </c>
      <c r="F452" s="4">
        <v>0.81597222222222221</v>
      </c>
      <c r="G452" s="2">
        <v>86.9</v>
      </c>
      <c r="H452" s="5">
        <v>869</v>
      </c>
      <c r="I452" t="s">
        <v>22</v>
      </c>
      <c r="J452">
        <f>HOUR(Table2[[#This Row],[Charging_Start_Time]])</f>
        <v>17</v>
      </c>
    </row>
    <row r="453" spans="1:10" x14ac:dyDescent="0.3">
      <c r="A453" t="s">
        <v>477</v>
      </c>
      <c r="B453" t="s">
        <v>26</v>
      </c>
      <c r="C453" s="1">
        <v>45945</v>
      </c>
      <c r="D453" t="s">
        <v>28</v>
      </c>
      <c r="E453" s="3">
        <v>0.56666666666666665</v>
      </c>
      <c r="F453" s="4">
        <v>0.66666666666666663</v>
      </c>
      <c r="G453" s="2">
        <v>18.399999999999999</v>
      </c>
      <c r="H453" s="5">
        <v>184</v>
      </c>
      <c r="I453" t="s">
        <v>12</v>
      </c>
      <c r="J453">
        <f>HOUR(Table2[[#This Row],[Charging_Start_Time]])</f>
        <v>13</v>
      </c>
    </row>
    <row r="454" spans="1:10" x14ac:dyDescent="0.3">
      <c r="A454" t="s">
        <v>478</v>
      </c>
      <c r="B454" t="s">
        <v>17</v>
      </c>
      <c r="C454" s="1">
        <v>45945</v>
      </c>
      <c r="D454" t="s">
        <v>15</v>
      </c>
      <c r="E454" s="3">
        <v>0.74097222222222225</v>
      </c>
      <c r="F454" s="4">
        <v>0.79583333333333328</v>
      </c>
      <c r="G454" s="2">
        <v>76.900000000000006</v>
      </c>
      <c r="H454" s="5">
        <v>769</v>
      </c>
      <c r="I454" t="s">
        <v>18</v>
      </c>
      <c r="J454">
        <f>HOUR(Table2[[#This Row],[Charging_Start_Time]])</f>
        <v>17</v>
      </c>
    </row>
    <row r="455" spans="1:10" x14ac:dyDescent="0.3">
      <c r="A455" t="s">
        <v>479</v>
      </c>
      <c r="B455" t="s">
        <v>14</v>
      </c>
      <c r="C455" s="1">
        <v>45945</v>
      </c>
      <c r="D455" t="s">
        <v>28</v>
      </c>
      <c r="E455" s="3">
        <v>0.26666666666666666</v>
      </c>
      <c r="F455" s="4">
        <v>0.29791666666666666</v>
      </c>
      <c r="G455" s="2">
        <v>69.400000000000006</v>
      </c>
      <c r="H455" s="5">
        <v>694</v>
      </c>
      <c r="I455" t="s">
        <v>18</v>
      </c>
      <c r="J455">
        <f>HOUR(Table2[[#This Row],[Charging_Start_Time]])</f>
        <v>6</v>
      </c>
    </row>
    <row r="456" spans="1:10" x14ac:dyDescent="0.3">
      <c r="A456" t="s">
        <v>480</v>
      </c>
      <c r="B456" t="s">
        <v>10</v>
      </c>
      <c r="C456" s="1">
        <v>45945</v>
      </c>
      <c r="D456" t="s">
        <v>15</v>
      </c>
      <c r="E456" s="3">
        <v>0.25555555555555554</v>
      </c>
      <c r="F456" s="4">
        <v>0.28680555555555554</v>
      </c>
      <c r="G456" s="2">
        <v>23</v>
      </c>
      <c r="H456" s="5">
        <v>230</v>
      </c>
      <c r="I456" t="s">
        <v>22</v>
      </c>
      <c r="J456">
        <f>HOUR(Table2[[#This Row],[Charging_Start_Time]])</f>
        <v>6</v>
      </c>
    </row>
    <row r="457" spans="1:10" x14ac:dyDescent="0.3">
      <c r="A457" t="s">
        <v>481</v>
      </c>
      <c r="B457" t="s">
        <v>33</v>
      </c>
      <c r="C457" s="1">
        <v>45945</v>
      </c>
      <c r="D457" t="s">
        <v>28</v>
      </c>
      <c r="E457" s="3">
        <v>0.61805555555555558</v>
      </c>
      <c r="F457" s="4">
        <v>0.67638888888888893</v>
      </c>
      <c r="G457" s="2">
        <v>73.400000000000006</v>
      </c>
      <c r="H457" s="5">
        <v>734</v>
      </c>
      <c r="I457" t="s">
        <v>18</v>
      </c>
      <c r="J457">
        <f>HOUR(Table2[[#This Row],[Charging_Start_Time]])</f>
        <v>14</v>
      </c>
    </row>
    <row r="458" spans="1:10" x14ac:dyDescent="0.3">
      <c r="A458" t="s">
        <v>482</v>
      </c>
      <c r="B458" t="s">
        <v>40</v>
      </c>
      <c r="C458" s="1">
        <v>45945</v>
      </c>
      <c r="D458" t="s">
        <v>28</v>
      </c>
      <c r="E458" s="3">
        <v>0.82638888888888884</v>
      </c>
      <c r="F458" s="4">
        <v>0.88124999999999998</v>
      </c>
      <c r="G458" s="2">
        <v>72.8</v>
      </c>
      <c r="H458" s="5">
        <v>728</v>
      </c>
      <c r="I458" t="s">
        <v>18</v>
      </c>
      <c r="J458">
        <f>HOUR(Table2[[#This Row],[Charging_Start_Time]])</f>
        <v>19</v>
      </c>
    </row>
    <row r="459" spans="1:10" x14ac:dyDescent="0.3">
      <c r="A459" t="s">
        <v>483</v>
      </c>
      <c r="B459" t="s">
        <v>52</v>
      </c>
      <c r="C459" s="1">
        <v>45945</v>
      </c>
      <c r="D459" t="s">
        <v>24</v>
      </c>
      <c r="E459" s="3">
        <v>0.47291666666666665</v>
      </c>
      <c r="F459" s="4">
        <v>0.56666666666666665</v>
      </c>
      <c r="G459" s="2">
        <v>17.899999999999999</v>
      </c>
      <c r="H459" s="5">
        <v>179</v>
      </c>
      <c r="I459" t="s">
        <v>12</v>
      </c>
      <c r="J459">
        <f>HOUR(Table2[[#This Row],[Charging_Start_Time]])</f>
        <v>11</v>
      </c>
    </row>
    <row r="460" spans="1:10" x14ac:dyDescent="0.3">
      <c r="A460" t="s">
        <v>484</v>
      </c>
      <c r="B460" t="s">
        <v>52</v>
      </c>
      <c r="C460" s="1">
        <v>45945</v>
      </c>
      <c r="D460" t="s">
        <v>28</v>
      </c>
      <c r="E460" s="3">
        <v>0.81319444444444444</v>
      </c>
      <c r="F460" s="4">
        <v>0.90416666666666667</v>
      </c>
      <c r="G460" s="2">
        <v>75.900000000000006</v>
      </c>
      <c r="H460" s="5">
        <v>759</v>
      </c>
      <c r="I460" t="s">
        <v>22</v>
      </c>
      <c r="J460">
        <f>HOUR(Table2[[#This Row],[Charging_Start_Time]])</f>
        <v>19</v>
      </c>
    </row>
    <row r="461" spans="1:10" x14ac:dyDescent="0.3">
      <c r="A461" t="s">
        <v>485</v>
      </c>
      <c r="B461" t="s">
        <v>26</v>
      </c>
      <c r="C461" s="1">
        <v>45945</v>
      </c>
      <c r="D461" t="s">
        <v>28</v>
      </c>
      <c r="E461" s="3">
        <v>0.44583333333333336</v>
      </c>
      <c r="F461" s="4">
        <v>0.48472222222222222</v>
      </c>
      <c r="G461" s="2">
        <v>60</v>
      </c>
      <c r="H461" s="5">
        <v>600</v>
      </c>
      <c r="I461" t="s">
        <v>12</v>
      </c>
      <c r="J461">
        <f>HOUR(Table2[[#This Row],[Charging_Start_Time]])</f>
        <v>10</v>
      </c>
    </row>
    <row r="462" spans="1:10" x14ac:dyDescent="0.3">
      <c r="A462" t="s">
        <v>486</v>
      </c>
      <c r="B462" t="s">
        <v>30</v>
      </c>
      <c r="C462" s="1">
        <v>45945</v>
      </c>
      <c r="D462" t="s">
        <v>28</v>
      </c>
      <c r="E462" s="3">
        <v>0.26666666666666666</v>
      </c>
      <c r="F462" s="4">
        <v>0.30555555555555558</v>
      </c>
      <c r="G462" s="2">
        <v>27.9</v>
      </c>
      <c r="H462" s="5">
        <v>279</v>
      </c>
      <c r="I462" t="s">
        <v>18</v>
      </c>
      <c r="J462">
        <f>HOUR(Table2[[#This Row],[Charging_Start_Time]])</f>
        <v>6</v>
      </c>
    </row>
    <row r="463" spans="1:10" x14ac:dyDescent="0.3">
      <c r="A463" t="s">
        <v>487</v>
      </c>
      <c r="B463" t="s">
        <v>26</v>
      </c>
      <c r="C463" s="1">
        <v>45945</v>
      </c>
      <c r="D463" t="s">
        <v>11</v>
      </c>
      <c r="E463" s="3">
        <v>0.5625</v>
      </c>
      <c r="F463" s="4">
        <v>0.63402777777777775</v>
      </c>
      <c r="G463" s="2">
        <v>65.900000000000006</v>
      </c>
      <c r="H463" s="5">
        <v>659</v>
      </c>
      <c r="I463" t="s">
        <v>22</v>
      </c>
      <c r="J463">
        <f>HOUR(Table2[[#This Row],[Charging_Start_Time]])</f>
        <v>13</v>
      </c>
    </row>
    <row r="464" spans="1:10" x14ac:dyDescent="0.3">
      <c r="A464" t="s">
        <v>488</v>
      </c>
      <c r="B464" t="s">
        <v>52</v>
      </c>
      <c r="C464" s="1">
        <v>45945</v>
      </c>
      <c r="D464" t="s">
        <v>15</v>
      </c>
      <c r="E464" s="3">
        <v>0.80069444444444449</v>
      </c>
      <c r="F464" s="4">
        <v>0.83263888888888893</v>
      </c>
      <c r="G464" s="2">
        <v>40.4</v>
      </c>
      <c r="H464" s="5">
        <v>404</v>
      </c>
      <c r="I464" t="s">
        <v>12</v>
      </c>
      <c r="J464">
        <f>HOUR(Table2[[#This Row],[Charging_Start_Time]])</f>
        <v>19</v>
      </c>
    </row>
    <row r="465" spans="1:10" x14ac:dyDescent="0.3">
      <c r="A465" t="s">
        <v>489</v>
      </c>
      <c r="B465" t="s">
        <v>20</v>
      </c>
      <c r="C465" s="1">
        <v>45945</v>
      </c>
      <c r="D465" t="s">
        <v>24</v>
      </c>
      <c r="E465" s="3">
        <v>0.28611111111111109</v>
      </c>
      <c r="F465" s="4">
        <v>0.39583333333333331</v>
      </c>
      <c r="G465" s="2">
        <v>4.5999999999999996</v>
      </c>
      <c r="H465" s="5">
        <v>46</v>
      </c>
      <c r="I465" t="s">
        <v>12</v>
      </c>
      <c r="J465">
        <f>HOUR(Table2[[#This Row],[Charging_Start_Time]])</f>
        <v>6</v>
      </c>
    </row>
    <row r="466" spans="1:10" x14ac:dyDescent="0.3">
      <c r="A466" t="s">
        <v>490</v>
      </c>
      <c r="B466" t="s">
        <v>10</v>
      </c>
      <c r="C466" s="1">
        <v>45945</v>
      </c>
      <c r="D466" t="s">
        <v>24</v>
      </c>
      <c r="E466" s="3">
        <v>0.72430555555555554</v>
      </c>
      <c r="F466" s="4">
        <v>0.81388888888888888</v>
      </c>
      <c r="G466" s="2">
        <v>18.899999999999999</v>
      </c>
      <c r="H466" s="5">
        <v>189</v>
      </c>
      <c r="I466" t="s">
        <v>22</v>
      </c>
      <c r="J466">
        <f>HOUR(Table2[[#This Row],[Charging_Start_Time]])</f>
        <v>17</v>
      </c>
    </row>
    <row r="467" spans="1:10" x14ac:dyDescent="0.3">
      <c r="A467" t="s">
        <v>491</v>
      </c>
      <c r="B467" t="s">
        <v>40</v>
      </c>
      <c r="C467" s="1">
        <v>45945</v>
      </c>
      <c r="D467" t="s">
        <v>28</v>
      </c>
      <c r="E467" s="3">
        <v>0.43819444444444444</v>
      </c>
      <c r="F467" s="4">
        <v>0.52777777777777779</v>
      </c>
      <c r="G467" s="2">
        <v>4.9000000000000004</v>
      </c>
      <c r="H467" s="5">
        <v>49</v>
      </c>
      <c r="I467" t="s">
        <v>18</v>
      </c>
      <c r="J467">
        <f>HOUR(Table2[[#This Row],[Charging_Start_Time]])</f>
        <v>10</v>
      </c>
    </row>
    <row r="468" spans="1:10" x14ac:dyDescent="0.3">
      <c r="A468" t="s">
        <v>492</v>
      </c>
      <c r="B468" t="s">
        <v>26</v>
      </c>
      <c r="C468" s="1">
        <v>45945</v>
      </c>
      <c r="D468" t="s">
        <v>11</v>
      </c>
      <c r="E468" s="3">
        <v>0.36249999999999999</v>
      </c>
      <c r="F468" s="4">
        <v>0.40138888888888891</v>
      </c>
      <c r="G468" s="2">
        <v>46.5</v>
      </c>
      <c r="H468" s="5">
        <v>465</v>
      </c>
      <c r="I468" t="s">
        <v>18</v>
      </c>
      <c r="J468">
        <f>HOUR(Table2[[#This Row],[Charging_Start_Time]])</f>
        <v>8</v>
      </c>
    </row>
    <row r="469" spans="1:10" x14ac:dyDescent="0.3">
      <c r="A469" t="s">
        <v>493</v>
      </c>
      <c r="B469" t="s">
        <v>40</v>
      </c>
      <c r="C469" s="1">
        <v>45945</v>
      </c>
      <c r="D469" t="s">
        <v>15</v>
      </c>
      <c r="E469" s="3">
        <v>0.31458333333333333</v>
      </c>
      <c r="F469" s="4">
        <v>0.41736111111111113</v>
      </c>
      <c r="G469" s="2">
        <v>43.8</v>
      </c>
      <c r="H469" s="5">
        <v>438</v>
      </c>
      <c r="I469" t="s">
        <v>12</v>
      </c>
      <c r="J469">
        <f>HOUR(Table2[[#This Row],[Charging_Start_Time]])</f>
        <v>7</v>
      </c>
    </row>
    <row r="470" spans="1:10" x14ac:dyDescent="0.3">
      <c r="A470" t="s">
        <v>494</v>
      </c>
      <c r="B470" t="s">
        <v>37</v>
      </c>
      <c r="C470" s="1">
        <v>45945</v>
      </c>
      <c r="D470" t="s">
        <v>28</v>
      </c>
      <c r="E470" s="3">
        <v>0.3</v>
      </c>
      <c r="F470" s="4">
        <v>0.36458333333333331</v>
      </c>
      <c r="G470" s="2">
        <v>61.6</v>
      </c>
      <c r="H470" s="5">
        <v>616</v>
      </c>
      <c r="I470" t="s">
        <v>12</v>
      </c>
      <c r="J470">
        <f>HOUR(Table2[[#This Row],[Charging_Start_Time]])</f>
        <v>7</v>
      </c>
    </row>
    <row r="471" spans="1:10" x14ac:dyDescent="0.3">
      <c r="A471" t="s">
        <v>495</v>
      </c>
      <c r="B471" t="s">
        <v>20</v>
      </c>
      <c r="C471" s="1">
        <v>45945</v>
      </c>
      <c r="D471" t="s">
        <v>28</v>
      </c>
      <c r="E471" s="3">
        <v>0.80347222222222225</v>
      </c>
      <c r="F471" s="4">
        <v>0.90069444444444446</v>
      </c>
      <c r="G471" s="2">
        <v>67.099999999999994</v>
      </c>
      <c r="H471" s="5">
        <v>671</v>
      </c>
      <c r="I471" t="s">
        <v>22</v>
      </c>
      <c r="J471">
        <f>HOUR(Table2[[#This Row],[Charging_Start_Time]])</f>
        <v>19</v>
      </c>
    </row>
    <row r="472" spans="1:10" x14ac:dyDescent="0.3">
      <c r="A472" t="s">
        <v>496</v>
      </c>
      <c r="B472" t="s">
        <v>14</v>
      </c>
      <c r="C472" s="1">
        <v>45945</v>
      </c>
      <c r="D472" t="s">
        <v>15</v>
      </c>
      <c r="E472" s="3">
        <v>0.27152777777777776</v>
      </c>
      <c r="F472" s="4">
        <v>0.38055555555555554</v>
      </c>
      <c r="G472" s="2">
        <v>23.2</v>
      </c>
      <c r="H472" s="5">
        <v>232</v>
      </c>
      <c r="I472" t="s">
        <v>22</v>
      </c>
      <c r="J472">
        <f>HOUR(Table2[[#This Row],[Charging_Start_Time]])</f>
        <v>6</v>
      </c>
    </row>
    <row r="473" spans="1:10" x14ac:dyDescent="0.3">
      <c r="A473" t="s">
        <v>497</v>
      </c>
      <c r="B473" t="s">
        <v>17</v>
      </c>
      <c r="C473" s="1">
        <v>45945</v>
      </c>
      <c r="D473" t="s">
        <v>28</v>
      </c>
      <c r="E473" s="3">
        <v>0.51111111111111107</v>
      </c>
      <c r="F473" s="4">
        <v>0.61944444444444446</v>
      </c>
      <c r="G473" s="2">
        <v>24</v>
      </c>
      <c r="H473" s="5">
        <v>240</v>
      </c>
      <c r="I473" t="s">
        <v>22</v>
      </c>
      <c r="J473">
        <f>HOUR(Table2[[#This Row],[Charging_Start_Time]])</f>
        <v>12</v>
      </c>
    </row>
    <row r="474" spans="1:10" x14ac:dyDescent="0.3">
      <c r="A474" t="s">
        <v>498</v>
      </c>
      <c r="B474" t="s">
        <v>10</v>
      </c>
      <c r="C474" s="1">
        <v>45945</v>
      </c>
      <c r="D474" t="s">
        <v>24</v>
      </c>
      <c r="E474" s="3">
        <v>0.35902777777777778</v>
      </c>
      <c r="F474" s="4">
        <v>0.44583333333333336</v>
      </c>
      <c r="G474" s="2">
        <v>67.900000000000006</v>
      </c>
      <c r="H474" s="5">
        <v>679</v>
      </c>
      <c r="I474" t="s">
        <v>12</v>
      </c>
      <c r="J474">
        <f>HOUR(Table2[[#This Row],[Charging_Start_Time]])</f>
        <v>8</v>
      </c>
    </row>
    <row r="475" spans="1:10" x14ac:dyDescent="0.3">
      <c r="A475" t="s">
        <v>499</v>
      </c>
      <c r="B475" t="s">
        <v>17</v>
      </c>
      <c r="C475" s="1">
        <v>45945</v>
      </c>
      <c r="D475" t="s">
        <v>24</v>
      </c>
      <c r="E475" s="3">
        <v>0.47916666666666669</v>
      </c>
      <c r="F475" s="4">
        <v>0.55833333333333335</v>
      </c>
      <c r="G475" s="2">
        <v>76.2</v>
      </c>
      <c r="H475" s="5">
        <v>762</v>
      </c>
      <c r="I475" t="s">
        <v>22</v>
      </c>
      <c r="J475">
        <f>HOUR(Table2[[#This Row],[Charging_Start_Time]])</f>
        <v>11</v>
      </c>
    </row>
    <row r="476" spans="1:10" x14ac:dyDescent="0.3">
      <c r="A476" t="s">
        <v>500</v>
      </c>
      <c r="B476" t="s">
        <v>26</v>
      </c>
      <c r="C476" s="1">
        <v>45945</v>
      </c>
      <c r="D476" t="s">
        <v>11</v>
      </c>
      <c r="E476" s="3">
        <v>0.48333333333333334</v>
      </c>
      <c r="F476" s="4">
        <v>0.54652777777777772</v>
      </c>
      <c r="G476" s="2">
        <v>83.6</v>
      </c>
      <c r="H476" s="5">
        <v>836</v>
      </c>
      <c r="I476" t="s">
        <v>22</v>
      </c>
      <c r="J476">
        <f>HOUR(Table2[[#This Row],[Charging_Start_Time]])</f>
        <v>11</v>
      </c>
    </row>
    <row r="477" spans="1:10" x14ac:dyDescent="0.3">
      <c r="A477" t="s">
        <v>501</v>
      </c>
      <c r="B477" t="s">
        <v>14</v>
      </c>
      <c r="C477" s="1">
        <v>45945</v>
      </c>
      <c r="D477" t="s">
        <v>28</v>
      </c>
      <c r="E477" s="3">
        <v>0.29166666666666669</v>
      </c>
      <c r="F477" s="4">
        <v>0.40069444444444446</v>
      </c>
      <c r="G477" s="2">
        <v>68.5</v>
      </c>
      <c r="H477" s="5">
        <v>685</v>
      </c>
      <c r="I477" t="s">
        <v>18</v>
      </c>
      <c r="J477">
        <f>HOUR(Table2[[#This Row],[Charging_Start_Time]])</f>
        <v>7</v>
      </c>
    </row>
    <row r="478" spans="1:10" x14ac:dyDescent="0.3">
      <c r="A478" t="s">
        <v>502</v>
      </c>
      <c r="B478" t="s">
        <v>10</v>
      </c>
      <c r="C478" s="1">
        <v>45945</v>
      </c>
      <c r="D478" t="s">
        <v>11</v>
      </c>
      <c r="E478" s="3">
        <v>0.71111111111111114</v>
      </c>
      <c r="F478" s="4">
        <v>0.73472222222222228</v>
      </c>
      <c r="G478" s="2">
        <v>25</v>
      </c>
      <c r="H478" s="5">
        <v>250</v>
      </c>
      <c r="I478" t="s">
        <v>12</v>
      </c>
      <c r="J478">
        <f>HOUR(Table2[[#This Row],[Charging_Start_Time]])</f>
        <v>17</v>
      </c>
    </row>
    <row r="479" spans="1:10" x14ac:dyDescent="0.3">
      <c r="A479" t="s">
        <v>503</v>
      </c>
      <c r="B479" t="s">
        <v>52</v>
      </c>
      <c r="C479" s="1">
        <v>45945</v>
      </c>
      <c r="D479" t="s">
        <v>28</v>
      </c>
      <c r="E479" s="3">
        <v>0.59652777777777777</v>
      </c>
      <c r="F479" s="4">
        <v>0.63888888888888884</v>
      </c>
      <c r="G479" s="2">
        <v>35</v>
      </c>
      <c r="H479" s="5">
        <v>350</v>
      </c>
      <c r="I479" t="s">
        <v>18</v>
      </c>
      <c r="J479">
        <f>HOUR(Table2[[#This Row],[Charging_Start_Time]])</f>
        <v>14</v>
      </c>
    </row>
    <row r="480" spans="1:10" x14ac:dyDescent="0.3">
      <c r="A480" t="s">
        <v>504</v>
      </c>
      <c r="B480" t="s">
        <v>33</v>
      </c>
      <c r="C480" s="1">
        <v>45945</v>
      </c>
      <c r="D480" t="s">
        <v>24</v>
      </c>
      <c r="E480" s="3">
        <v>0.47291666666666665</v>
      </c>
      <c r="F480" s="4">
        <v>0.55069444444444449</v>
      </c>
      <c r="G480" s="2">
        <v>33.1</v>
      </c>
      <c r="H480" s="5">
        <v>331</v>
      </c>
      <c r="I480" t="s">
        <v>12</v>
      </c>
      <c r="J480">
        <f>HOUR(Table2[[#This Row],[Charging_Start_Time]])</f>
        <v>11</v>
      </c>
    </row>
    <row r="481" spans="1:10" x14ac:dyDescent="0.3">
      <c r="A481" t="s">
        <v>505</v>
      </c>
      <c r="B481" t="s">
        <v>26</v>
      </c>
      <c r="C481" s="1">
        <v>45945</v>
      </c>
      <c r="D481" t="s">
        <v>11</v>
      </c>
      <c r="E481" s="3">
        <v>0.65902777777777777</v>
      </c>
      <c r="F481" s="4">
        <v>0.76666666666666672</v>
      </c>
      <c r="G481" s="2">
        <v>29.7</v>
      </c>
      <c r="H481" s="5">
        <v>297</v>
      </c>
      <c r="I481" t="s">
        <v>22</v>
      </c>
      <c r="J481">
        <f>HOUR(Table2[[#This Row],[Charging_Start_Time]])</f>
        <v>15</v>
      </c>
    </row>
    <row r="482" spans="1:10" x14ac:dyDescent="0.3">
      <c r="A482" t="s">
        <v>506</v>
      </c>
      <c r="B482" t="s">
        <v>14</v>
      </c>
      <c r="C482" s="1">
        <v>45945</v>
      </c>
      <c r="D482" t="s">
        <v>11</v>
      </c>
      <c r="E482" s="3">
        <v>0.3263888888888889</v>
      </c>
      <c r="F482" s="4">
        <v>0.43888888888888888</v>
      </c>
      <c r="G482" s="2">
        <v>64.8</v>
      </c>
      <c r="H482" s="5">
        <v>648</v>
      </c>
      <c r="I482" t="s">
        <v>22</v>
      </c>
      <c r="J482">
        <f>HOUR(Table2[[#This Row],[Charging_Start_Time]])</f>
        <v>7</v>
      </c>
    </row>
    <row r="483" spans="1:10" x14ac:dyDescent="0.3">
      <c r="A483" t="s">
        <v>507</v>
      </c>
      <c r="B483" t="s">
        <v>33</v>
      </c>
      <c r="C483" s="1">
        <v>45945</v>
      </c>
      <c r="D483" t="s">
        <v>15</v>
      </c>
      <c r="E483" s="3">
        <v>0.30625000000000002</v>
      </c>
      <c r="F483" s="4">
        <v>0.42986111111111114</v>
      </c>
      <c r="G483" s="2">
        <v>13.2</v>
      </c>
      <c r="H483" s="5">
        <v>132</v>
      </c>
      <c r="I483" t="s">
        <v>12</v>
      </c>
      <c r="J483">
        <f>HOUR(Table2[[#This Row],[Charging_Start_Time]])</f>
        <v>7</v>
      </c>
    </row>
    <row r="484" spans="1:10" x14ac:dyDescent="0.3">
      <c r="A484" t="s">
        <v>508</v>
      </c>
      <c r="B484" t="s">
        <v>40</v>
      </c>
      <c r="C484" s="1">
        <v>45945</v>
      </c>
      <c r="D484" t="s">
        <v>28</v>
      </c>
      <c r="E484" s="3">
        <v>0.29583333333333334</v>
      </c>
      <c r="F484" s="4">
        <v>0.4201388888888889</v>
      </c>
      <c r="G484" s="2">
        <v>77.099999999999994</v>
      </c>
      <c r="H484" s="5">
        <v>771</v>
      </c>
      <c r="I484" t="s">
        <v>18</v>
      </c>
      <c r="J484">
        <f>HOUR(Table2[[#This Row],[Charging_Start_Time]])</f>
        <v>7</v>
      </c>
    </row>
    <row r="485" spans="1:10" x14ac:dyDescent="0.3">
      <c r="A485" t="s">
        <v>509</v>
      </c>
      <c r="B485" t="s">
        <v>33</v>
      </c>
      <c r="C485" s="1">
        <v>45945</v>
      </c>
      <c r="D485" t="s">
        <v>15</v>
      </c>
      <c r="E485" s="3">
        <v>0.68333333333333335</v>
      </c>
      <c r="F485" s="4">
        <v>0.7416666666666667</v>
      </c>
      <c r="G485" s="2">
        <v>94.4</v>
      </c>
      <c r="H485" s="5">
        <v>944</v>
      </c>
      <c r="I485" t="s">
        <v>22</v>
      </c>
      <c r="J485">
        <f>HOUR(Table2[[#This Row],[Charging_Start_Time]])</f>
        <v>16</v>
      </c>
    </row>
    <row r="486" spans="1:10" x14ac:dyDescent="0.3">
      <c r="A486" t="s">
        <v>510</v>
      </c>
      <c r="B486" t="s">
        <v>17</v>
      </c>
      <c r="C486" s="1">
        <v>45945</v>
      </c>
      <c r="D486" t="s">
        <v>11</v>
      </c>
      <c r="E486" s="3">
        <v>0.55347222222222225</v>
      </c>
      <c r="F486" s="4">
        <v>0.61597222222222225</v>
      </c>
      <c r="G486" s="2">
        <v>48.8</v>
      </c>
      <c r="H486" s="5">
        <v>488</v>
      </c>
      <c r="I486" t="s">
        <v>12</v>
      </c>
      <c r="J486">
        <f>HOUR(Table2[[#This Row],[Charging_Start_Time]])</f>
        <v>13</v>
      </c>
    </row>
    <row r="487" spans="1:10" x14ac:dyDescent="0.3">
      <c r="A487" t="s">
        <v>511</v>
      </c>
      <c r="B487" t="s">
        <v>37</v>
      </c>
      <c r="C487" s="1">
        <v>45945</v>
      </c>
      <c r="D487" t="s">
        <v>28</v>
      </c>
      <c r="E487" s="3">
        <v>0.51666666666666672</v>
      </c>
      <c r="F487" s="4">
        <v>0.58888888888888891</v>
      </c>
      <c r="G487" s="2">
        <v>82.6</v>
      </c>
      <c r="H487" s="5">
        <v>826</v>
      </c>
      <c r="I487" t="s">
        <v>18</v>
      </c>
      <c r="J487">
        <f>HOUR(Table2[[#This Row],[Charging_Start_Time]])</f>
        <v>12</v>
      </c>
    </row>
    <row r="488" spans="1:10" x14ac:dyDescent="0.3">
      <c r="A488" t="s">
        <v>512</v>
      </c>
      <c r="B488" t="s">
        <v>37</v>
      </c>
      <c r="C488" s="1">
        <v>45945</v>
      </c>
      <c r="D488" t="s">
        <v>11</v>
      </c>
      <c r="E488" s="3">
        <v>0.57291666666666663</v>
      </c>
      <c r="F488" s="4">
        <v>0.66527777777777775</v>
      </c>
      <c r="G488" s="2">
        <v>11.8</v>
      </c>
      <c r="H488" s="5">
        <v>118</v>
      </c>
      <c r="I488" t="s">
        <v>22</v>
      </c>
      <c r="J488">
        <f>HOUR(Table2[[#This Row],[Charging_Start_Time]])</f>
        <v>13</v>
      </c>
    </row>
    <row r="489" spans="1:10" x14ac:dyDescent="0.3">
      <c r="A489" t="s">
        <v>513</v>
      </c>
      <c r="B489" t="s">
        <v>52</v>
      </c>
      <c r="C489" s="1">
        <v>45945</v>
      </c>
      <c r="D489" t="s">
        <v>15</v>
      </c>
      <c r="E489" s="3">
        <v>0.68125000000000002</v>
      </c>
      <c r="F489" s="4">
        <v>0.72291666666666665</v>
      </c>
      <c r="G489" s="2">
        <v>74.2</v>
      </c>
      <c r="H489" s="5">
        <v>742</v>
      </c>
      <c r="I489" t="s">
        <v>12</v>
      </c>
      <c r="J489">
        <f>HOUR(Table2[[#This Row],[Charging_Start_Time]])</f>
        <v>16</v>
      </c>
    </row>
    <row r="490" spans="1:10" x14ac:dyDescent="0.3">
      <c r="A490" t="s">
        <v>514</v>
      </c>
      <c r="B490" t="s">
        <v>52</v>
      </c>
      <c r="C490" s="1">
        <v>45945</v>
      </c>
      <c r="D490" t="s">
        <v>15</v>
      </c>
      <c r="E490" s="3">
        <v>0.43958333333333333</v>
      </c>
      <c r="F490" s="4">
        <v>0.4777777777777778</v>
      </c>
      <c r="G490" s="2">
        <v>21.2</v>
      </c>
      <c r="H490" s="5">
        <v>212</v>
      </c>
      <c r="I490" t="s">
        <v>18</v>
      </c>
      <c r="J490">
        <f>HOUR(Table2[[#This Row],[Charging_Start_Time]])</f>
        <v>10</v>
      </c>
    </row>
    <row r="491" spans="1:10" x14ac:dyDescent="0.3">
      <c r="A491" t="s">
        <v>515</v>
      </c>
      <c r="B491" t="s">
        <v>14</v>
      </c>
      <c r="C491" s="1">
        <v>45945</v>
      </c>
      <c r="D491" t="s">
        <v>28</v>
      </c>
      <c r="E491" s="3">
        <v>0.60624999999999996</v>
      </c>
      <c r="F491" s="4">
        <v>0.67013888888888884</v>
      </c>
      <c r="G491" s="2">
        <v>83.4</v>
      </c>
      <c r="H491" s="5">
        <v>834</v>
      </c>
      <c r="I491" t="s">
        <v>22</v>
      </c>
      <c r="J491">
        <f>HOUR(Table2[[#This Row],[Charging_Start_Time]])</f>
        <v>14</v>
      </c>
    </row>
    <row r="492" spans="1:10" x14ac:dyDescent="0.3">
      <c r="A492" t="s">
        <v>516</v>
      </c>
      <c r="B492" t="s">
        <v>14</v>
      </c>
      <c r="C492" s="1">
        <v>45945</v>
      </c>
      <c r="D492" t="s">
        <v>24</v>
      </c>
      <c r="E492" s="3">
        <v>0.45694444444444443</v>
      </c>
      <c r="F492" s="4">
        <v>0.52847222222222223</v>
      </c>
      <c r="G492" s="2">
        <v>51.2</v>
      </c>
      <c r="H492" s="5">
        <v>512</v>
      </c>
      <c r="I492" t="s">
        <v>18</v>
      </c>
      <c r="J492">
        <f>HOUR(Table2[[#This Row],[Charging_Start_Time]])</f>
        <v>10</v>
      </c>
    </row>
    <row r="493" spans="1:10" x14ac:dyDescent="0.3">
      <c r="A493" t="s">
        <v>517</v>
      </c>
      <c r="B493" t="s">
        <v>33</v>
      </c>
      <c r="C493" s="1">
        <v>45945</v>
      </c>
      <c r="D493" t="s">
        <v>11</v>
      </c>
      <c r="E493" s="3">
        <v>0.33263888888888887</v>
      </c>
      <c r="F493" s="4">
        <v>0.45069444444444445</v>
      </c>
      <c r="G493" s="2">
        <v>20</v>
      </c>
      <c r="H493" s="5">
        <v>200</v>
      </c>
      <c r="I493" t="s">
        <v>12</v>
      </c>
      <c r="J493">
        <f>HOUR(Table2[[#This Row],[Charging_Start_Time]])</f>
        <v>7</v>
      </c>
    </row>
    <row r="494" spans="1:10" x14ac:dyDescent="0.3">
      <c r="A494" t="s">
        <v>518</v>
      </c>
      <c r="B494" t="s">
        <v>14</v>
      </c>
      <c r="C494" s="1">
        <v>45945</v>
      </c>
      <c r="D494" t="s">
        <v>24</v>
      </c>
      <c r="E494" s="3">
        <v>0.53194444444444444</v>
      </c>
      <c r="F494" s="4">
        <v>0.57152777777777775</v>
      </c>
      <c r="G494" s="2">
        <v>11.9</v>
      </c>
      <c r="H494" s="5">
        <v>119</v>
      </c>
      <c r="I494" t="s">
        <v>22</v>
      </c>
      <c r="J494">
        <f>HOUR(Table2[[#This Row],[Charging_Start_Time]])</f>
        <v>12</v>
      </c>
    </row>
    <row r="495" spans="1:10" x14ac:dyDescent="0.3">
      <c r="A495" t="s">
        <v>519</v>
      </c>
      <c r="B495" t="s">
        <v>30</v>
      </c>
      <c r="C495" s="1">
        <v>45945</v>
      </c>
      <c r="D495" t="s">
        <v>11</v>
      </c>
      <c r="E495" s="3">
        <v>0.72083333333333333</v>
      </c>
      <c r="F495" s="4">
        <v>0.78611111111111109</v>
      </c>
      <c r="G495" s="2">
        <v>18.399999999999999</v>
      </c>
      <c r="H495" s="5">
        <v>184</v>
      </c>
      <c r="I495" t="s">
        <v>12</v>
      </c>
      <c r="J495">
        <f>HOUR(Table2[[#This Row],[Charging_Start_Time]])</f>
        <v>17</v>
      </c>
    </row>
    <row r="496" spans="1:10" x14ac:dyDescent="0.3">
      <c r="A496" t="s">
        <v>520</v>
      </c>
      <c r="B496" t="s">
        <v>26</v>
      </c>
      <c r="C496" s="1">
        <v>45945</v>
      </c>
      <c r="D496" t="s">
        <v>28</v>
      </c>
      <c r="E496" s="3">
        <v>0.6</v>
      </c>
      <c r="F496" s="4">
        <v>0.65416666666666667</v>
      </c>
      <c r="G496" s="2">
        <v>30.9</v>
      </c>
      <c r="H496" s="5">
        <v>309</v>
      </c>
      <c r="I496" t="s">
        <v>12</v>
      </c>
      <c r="J496">
        <f>HOUR(Table2[[#This Row],[Charging_Start_Time]])</f>
        <v>14</v>
      </c>
    </row>
    <row r="497" spans="1:10" x14ac:dyDescent="0.3">
      <c r="A497" t="s">
        <v>521</v>
      </c>
      <c r="B497" t="s">
        <v>20</v>
      </c>
      <c r="C497" s="1">
        <v>45945</v>
      </c>
      <c r="D497" t="s">
        <v>15</v>
      </c>
      <c r="E497" s="3">
        <v>0.69374999999999998</v>
      </c>
      <c r="F497" s="4">
        <v>0.80208333333333337</v>
      </c>
      <c r="G497" s="2">
        <v>44.2</v>
      </c>
      <c r="H497" s="5">
        <v>442</v>
      </c>
      <c r="I497" t="s">
        <v>18</v>
      </c>
      <c r="J497">
        <f>HOUR(Table2[[#This Row],[Charging_Start_Time]])</f>
        <v>16</v>
      </c>
    </row>
    <row r="498" spans="1:10" x14ac:dyDescent="0.3">
      <c r="A498" t="s">
        <v>522</v>
      </c>
      <c r="B498" t="s">
        <v>52</v>
      </c>
      <c r="C498" s="1">
        <v>45945</v>
      </c>
      <c r="D498" t="s">
        <v>11</v>
      </c>
      <c r="E498" s="3">
        <v>0.43125000000000002</v>
      </c>
      <c r="F498" s="4">
        <v>0.5541666666666667</v>
      </c>
      <c r="G498" s="2">
        <v>18.2</v>
      </c>
      <c r="H498" s="5">
        <v>182</v>
      </c>
      <c r="I498" t="s">
        <v>22</v>
      </c>
      <c r="J498">
        <f>HOUR(Table2[[#This Row],[Charging_Start_Time]])</f>
        <v>10</v>
      </c>
    </row>
    <row r="499" spans="1:10" x14ac:dyDescent="0.3">
      <c r="A499" t="s">
        <v>523</v>
      </c>
      <c r="B499" t="s">
        <v>26</v>
      </c>
      <c r="C499" s="1">
        <v>45945</v>
      </c>
      <c r="D499" t="s">
        <v>24</v>
      </c>
      <c r="E499" s="3">
        <v>0.70486111111111116</v>
      </c>
      <c r="F499" s="4">
        <v>0.76458333333333328</v>
      </c>
      <c r="G499" s="2">
        <v>30.8</v>
      </c>
      <c r="H499" s="5">
        <v>308</v>
      </c>
      <c r="I499" t="s">
        <v>18</v>
      </c>
      <c r="J499">
        <f>HOUR(Table2[[#This Row],[Charging_Start_Time]])</f>
        <v>16</v>
      </c>
    </row>
    <row r="500" spans="1:10" x14ac:dyDescent="0.3">
      <c r="A500" t="s">
        <v>524</v>
      </c>
      <c r="B500" t="s">
        <v>40</v>
      </c>
      <c r="C500" s="1">
        <v>45945</v>
      </c>
      <c r="D500" t="s">
        <v>24</v>
      </c>
      <c r="E500" s="3">
        <v>0.54097222222222219</v>
      </c>
      <c r="F500" s="4">
        <v>0.59375</v>
      </c>
      <c r="G500" s="2">
        <v>20</v>
      </c>
      <c r="H500" s="5">
        <v>200</v>
      </c>
      <c r="I500" t="s">
        <v>22</v>
      </c>
      <c r="J500">
        <f>HOUR(Table2[[#This Row],[Charging_Start_Time]])</f>
        <v>12</v>
      </c>
    </row>
    <row r="501" spans="1:10" x14ac:dyDescent="0.3">
      <c r="A501" t="s">
        <v>525</v>
      </c>
      <c r="B501" t="s">
        <v>40</v>
      </c>
      <c r="C501" s="1">
        <v>45945</v>
      </c>
      <c r="D501" t="s">
        <v>28</v>
      </c>
      <c r="E501" s="3">
        <v>0.48194444444444445</v>
      </c>
      <c r="F501" s="4">
        <v>0.5708333333333333</v>
      </c>
      <c r="G501" s="2">
        <v>13.9</v>
      </c>
      <c r="H501" s="5">
        <v>139</v>
      </c>
      <c r="I501" t="s">
        <v>12</v>
      </c>
      <c r="J501">
        <f>HOUR(Table2[[#This Row],[Charging_Start_Time]])</f>
        <v>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6B90F-ED75-42EC-81B5-490010F032E3}">
  <dimension ref="B2:Z8"/>
  <sheetViews>
    <sheetView showGridLines="0" tabSelected="1" zoomScale="62" zoomScaleNormal="62" workbookViewId="0">
      <selection activeCell="AK39" sqref="AK39"/>
    </sheetView>
  </sheetViews>
  <sheetFormatPr defaultRowHeight="14.4" x14ac:dyDescent="0.3"/>
  <sheetData>
    <row r="2" spans="2:26" ht="14.4" customHeight="1" x14ac:dyDescent="0.3">
      <c r="B2" s="18" t="s">
        <v>539</v>
      </c>
      <c r="C2" s="18"/>
      <c r="D2" s="18"/>
      <c r="E2" s="18"/>
      <c r="F2" s="18"/>
      <c r="G2" s="18"/>
      <c r="H2" s="18"/>
      <c r="I2" s="18"/>
      <c r="J2" s="18"/>
      <c r="K2" s="18"/>
      <c r="L2" s="18"/>
      <c r="M2" s="18"/>
      <c r="N2" s="18"/>
      <c r="O2" s="18"/>
      <c r="P2" s="18"/>
      <c r="Q2" s="18"/>
      <c r="R2" s="18"/>
      <c r="S2" s="18"/>
      <c r="T2" s="18"/>
      <c r="U2" s="18"/>
      <c r="V2" s="18"/>
      <c r="W2" s="18"/>
      <c r="X2" s="18"/>
      <c r="Y2" s="18"/>
      <c r="Z2" s="18"/>
    </row>
    <row r="3" spans="2:26" ht="14.4" customHeight="1" x14ac:dyDescent="0.3">
      <c r="B3" s="18"/>
      <c r="C3" s="18"/>
      <c r="D3" s="18"/>
      <c r="E3" s="18"/>
      <c r="F3" s="18"/>
      <c r="G3" s="18"/>
      <c r="H3" s="18"/>
      <c r="I3" s="18"/>
      <c r="J3" s="18"/>
      <c r="K3" s="18"/>
      <c r="L3" s="18"/>
      <c r="M3" s="18"/>
      <c r="N3" s="18"/>
      <c r="O3" s="18"/>
      <c r="P3" s="18"/>
      <c r="Q3" s="18"/>
      <c r="R3" s="18"/>
      <c r="S3" s="18"/>
      <c r="T3" s="18"/>
      <c r="U3" s="18"/>
      <c r="V3" s="18"/>
      <c r="W3" s="18"/>
      <c r="X3" s="18"/>
      <c r="Y3" s="18"/>
      <c r="Z3" s="18"/>
    </row>
    <row r="5" spans="2:26" x14ac:dyDescent="0.3">
      <c r="C5" s="19" t="s">
        <v>540</v>
      </c>
      <c r="D5" s="16"/>
      <c r="E5" s="16"/>
      <c r="G5" s="20" t="s">
        <v>541</v>
      </c>
      <c r="H5" s="16"/>
      <c r="I5" s="16"/>
      <c r="K5" s="15" t="s">
        <v>542</v>
      </c>
      <c r="L5" s="16"/>
      <c r="M5" s="16"/>
      <c r="O5" s="15" t="s">
        <v>543</v>
      </c>
      <c r="P5" s="17"/>
      <c r="Q5" s="17"/>
      <c r="S5" s="15" t="s">
        <v>544</v>
      </c>
      <c r="T5" s="17"/>
      <c r="U5" s="17"/>
    </row>
    <row r="6" spans="2:26" x14ac:dyDescent="0.3">
      <c r="C6" s="16"/>
      <c r="D6" s="16"/>
      <c r="E6" s="16"/>
      <c r="G6" s="16"/>
      <c r="H6" s="16"/>
      <c r="I6" s="16"/>
      <c r="K6" s="16"/>
      <c r="L6" s="16"/>
      <c r="M6" s="16"/>
      <c r="O6" s="17"/>
      <c r="P6" s="17"/>
      <c r="Q6" s="17"/>
      <c r="S6" s="17"/>
      <c r="T6" s="17"/>
      <c r="U6" s="17"/>
    </row>
    <row r="7" spans="2:26" x14ac:dyDescent="0.3">
      <c r="C7" s="16"/>
      <c r="D7" s="16"/>
      <c r="E7" s="16"/>
      <c r="G7" s="16"/>
      <c r="H7" s="16"/>
      <c r="I7" s="16"/>
      <c r="K7" s="16"/>
      <c r="L7" s="16"/>
      <c r="M7" s="16"/>
      <c r="O7" s="17"/>
      <c r="P7" s="17"/>
      <c r="Q7" s="17"/>
      <c r="S7" s="17"/>
      <c r="T7" s="17"/>
      <c r="U7" s="17"/>
    </row>
    <row r="8" spans="2:26" x14ac:dyDescent="0.3">
      <c r="C8" s="16"/>
      <c r="D8" s="16"/>
      <c r="E8" s="16"/>
      <c r="G8" s="16"/>
      <c r="H8" s="16"/>
      <c r="I8" s="16"/>
      <c r="K8" s="16"/>
      <c r="L8" s="16"/>
      <c r="M8" s="16"/>
      <c r="O8" s="17"/>
      <c r="P8" s="17"/>
      <c r="Q8" s="17"/>
      <c r="S8" s="17"/>
      <c r="T8" s="17"/>
      <c r="U8" s="17"/>
    </row>
  </sheetData>
  <mergeCells count="6">
    <mergeCell ref="K5:M8"/>
    <mergeCell ref="O5:Q8"/>
    <mergeCell ref="S5:U8"/>
    <mergeCell ref="C5:E8"/>
    <mergeCell ref="G5:I8"/>
    <mergeCell ref="B2: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Sheet8</vt:lpstr>
      <vt:lpstr>Sheet1</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seerasasikumar@gmail.com</dc:creator>
  <cp:lastModifiedBy>seerasasikumar@gmail.com</cp:lastModifiedBy>
  <dcterms:created xsi:type="dcterms:W3CDTF">2026-07-26T15:07:16Z</dcterms:created>
  <dcterms:modified xsi:type="dcterms:W3CDTF">2026-07-28T09:34:31Z</dcterms:modified>
</cp:coreProperties>
</file>